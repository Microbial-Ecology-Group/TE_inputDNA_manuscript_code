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q\Dropbox\Projects\Agilent_Input\R_analysis\"/>
    </mc:Choice>
  </mc:AlternateContent>
  <xr:revisionPtr revIDLastSave="0" documentId="13_ncr:1_{C98D9781-F705-42AE-869C-06AA19D91393}" xr6:coauthVersionLast="47" xr6:coauthVersionMax="47" xr10:uidLastSave="{00000000-0000-0000-0000-000000000000}"/>
  <bookViews>
    <workbookView xWindow="-120" yWindow="-120" windowWidth="29040" windowHeight="15720" xr2:uid="{A56BFC80-545E-408F-B77B-5C1E4B42947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2" i="2"/>
</calcChain>
</file>

<file path=xl/sharedStrings.xml><?xml version="1.0" encoding="utf-8"?>
<sst xmlns="http://schemas.openxmlformats.org/spreadsheetml/2006/main" count="1167" uniqueCount="338">
  <si>
    <t>A_H23</t>
  </si>
  <si>
    <t>A_P14</t>
  </si>
  <si>
    <t>A_B21</t>
  </si>
  <si>
    <t>A_P10</t>
  </si>
  <si>
    <t>A_A12</t>
  </si>
  <si>
    <t>A_H8</t>
  </si>
  <si>
    <t>A_B17</t>
  </si>
  <si>
    <t>A_P6</t>
  </si>
  <si>
    <t>A_P4</t>
  </si>
  <si>
    <t>A_H2</t>
  </si>
  <si>
    <t>A_B10</t>
  </si>
  <si>
    <t>A_P12</t>
  </si>
  <si>
    <t>A_A19</t>
  </si>
  <si>
    <t>A_B13</t>
  </si>
  <si>
    <t>A_A07</t>
  </si>
  <si>
    <t>A_B16</t>
  </si>
  <si>
    <t>A_P20</t>
  </si>
  <si>
    <t>A_B12</t>
  </si>
  <si>
    <t>A_B22</t>
  </si>
  <si>
    <t>A_H5</t>
  </si>
  <si>
    <t>A_P23</t>
  </si>
  <si>
    <t>A_H9</t>
  </si>
  <si>
    <t>A_H15</t>
  </si>
  <si>
    <t>A_H14</t>
  </si>
  <si>
    <t>A_H4</t>
  </si>
  <si>
    <t>A_H11</t>
  </si>
  <si>
    <t>A_H17</t>
  </si>
  <si>
    <t>A_P21</t>
  </si>
  <si>
    <t>A_A23</t>
  </si>
  <si>
    <t>A_A13</t>
  </si>
  <si>
    <t>A_H3</t>
  </si>
  <si>
    <t>A_H21</t>
  </si>
  <si>
    <t>A_B20</t>
  </si>
  <si>
    <t>A_A24</t>
  </si>
  <si>
    <t>A_H7</t>
  </si>
  <si>
    <t>A_P7</t>
  </si>
  <si>
    <t>A_A05</t>
  </si>
  <si>
    <t>A_B3</t>
  </si>
  <si>
    <t>A_P19</t>
  </si>
  <si>
    <t>A_B1</t>
  </si>
  <si>
    <t>A_A15</t>
  </si>
  <si>
    <t>A_P17</t>
  </si>
  <si>
    <t>A_B11</t>
  </si>
  <si>
    <t>A_B2</t>
  </si>
  <si>
    <t>A_H22</t>
  </si>
  <si>
    <t>A_B4</t>
  </si>
  <si>
    <t>A_P11</t>
  </si>
  <si>
    <t>A_B24</t>
  </si>
  <si>
    <t>A_A20</t>
  </si>
  <si>
    <t>A_A09</t>
  </si>
  <si>
    <t>A_A02</t>
  </si>
  <si>
    <t>A_A01</t>
  </si>
  <si>
    <t>A_P13</t>
  </si>
  <si>
    <t>A_H10</t>
  </si>
  <si>
    <t>A_A18</t>
  </si>
  <si>
    <t>A_H18</t>
  </si>
  <si>
    <t>A_A06</t>
  </si>
  <si>
    <t>A_P15</t>
  </si>
  <si>
    <t>A_B19</t>
  </si>
  <si>
    <t>A_A16</t>
  </si>
  <si>
    <t>A_P8</t>
  </si>
  <si>
    <t>A_P16</t>
  </si>
  <si>
    <t>A_B5</t>
  </si>
  <si>
    <t>A_P3</t>
  </si>
  <si>
    <t>A_H16</t>
  </si>
  <si>
    <t>A_B23</t>
  </si>
  <si>
    <t>A_P2</t>
  </si>
  <si>
    <t>A_A14</t>
  </si>
  <si>
    <t>A_B15</t>
  </si>
  <si>
    <t>A_A21</t>
  </si>
  <si>
    <t>A_H12</t>
  </si>
  <si>
    <t>A_B7</t>
  </si>
  <si>
    <t>A_P9</t>
  </si>
  <si>
    <t>A_B6</t>
  </si>
  <si>
    <t>A_P18</t>
  </si>
  <si>
    <t>A_A03</t>
  </si>
  <si>
    <t>A_H19</t>
  </si>
  <si>
    <t>A_H20</t>
  </si>
  <si>
    <t>A_P5</t>
  </si>
  <si>
    <t>A_H24</t>
  </si>
  <si>
    <t>A_P22</t>
  </si>
  <si>
    <t>A_P24</t>
  </si>
  <si>
    <t>A_H6</t>
  </si>
  <si>
    <t>A_B18</t>
  </si>
  <si>
    <t>A_A17</t>
  </si>
  <si>
    <t>A_A08</t>
  </si>
  <si>
    <t>A_A10</t>
  </si>
  <si>
    <t>A_H1</t>
  </si>
  <si>
    <t>A_P1</t>
  </si>
  <si>
    <t>A_H13</t>
  </si>
  <si>
    <t>A_B14</t>
  </si>
  <si>
    <t>A_B9</t>
  </si>
  <si>
    <t>A_A04</t>
  </si>
  <si>
    <t>A_A22</t>
  </si>
  <si>
    <t>A_A11</t>
  </si>
  <si>
    <t>SampleID</t>
  </si>
  <si>
    <t>A01</t>
  </si>
  <si>
    <t>A02</t>
  </si>
  <si>
    <t>A03</t>
  </si>
  <si>
    <t>A04</t>
  </si>
  <si>
    <t>A05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</si>
  <si>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</si>
  <si>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</si>
  <si>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</si>
  <si>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</si>
  <si>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</si>
  <si>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</si>
  <si>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</si>
  <si>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</si>
  <si>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</si>
  <si>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</si>
  <si>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</si>
  <si>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</si>
  <si>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</si>
  <si>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</si>
  <si>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</si>
  <si>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</si>
  <si>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</si>
  <si>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</si>
  <si>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</si>
  <si>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</si>
  <si>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</si>
  <si>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</si>
  <si>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</si>
  <si>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</si>
  <si>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</si>
  <si>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</si>
  <si>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</si>
  <si>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</si>
  <si>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</si>
  <si>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</si>
  <si>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</si>
  <si>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</si>
  <si>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</si>
  <si>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</si>
  <si>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</si>
  <si>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B3</t>
  </si>
  <si>
    <t>B4</t>
  </si>
  <si>
    <t>B5</t>
  </si>
  <si>
    <t>B6</t>
  </si>
  <si>
    <t>B7</t>
  </si>
  <si>
    <t>B9</t>
  </si>
  <si>
    <t>H1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</si>
  <si>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</si>
  <si>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</si>
  <si>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</si>
  <si>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</si>
  <si>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</si>
  <si>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</si>
  <si>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</si>
  <si>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</si>
  <si>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</si>
  <si>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</si>
  <si>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</t>
  </si>
  <si>
    <t>H20</t>
  </si>
  <si>
    <t>H21</t>
  </si>
  <si>
    <t>H22</t>
  </si>
  <si>
    <t>H23</t>
  </si>
  <si>
    <t>H24</t>
  </si>
  <si>
    <t>H3</t>
  </si>
  <si>
    <t>H4</t>
  </si>
  <si>
    <t>H5</t>
  </si>
  <si>
    <t>H6</t>
  </si>
  <si>
    <t>H7</t>
  </si>
  <si>
    <t>H8</t>
  </si>
  <si>
    <t>H9</t>
  </si>
  <si>
    <t>P1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</si>
  <si>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</si>
  <si>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</si>
  <si>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</si>
  <si>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</si>
  <si>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</si>
  <si>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</si>
  <si>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</si>
  <si>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</si>
  <si>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</si>
  <si>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</si>
  <si>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</si>
  <si>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</si>
  <si>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</si>
  <si>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</si>
  <si>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</si>
  <si>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</si>
  <si>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P3</t>
  </si>
  <si>
    <t>P4</t>
  </si>
  <si>
    <t>P5</t>
  </si>
  <si>
    <t>P6</t>
  </si>
  <si>
    <t>P7</t>
  </si>
  <si>
    <t>P8</t>
  </si>
  <si>
    <t>P9</t>
  </si>
  <si>
    <t>P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</si>
  <si>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</si>
  <si>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</si>
  <si>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</si>
  <si>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</si>
  <si>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</si>
  <si>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</si>
  <si>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</si>
  <si>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</si>
  <si>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</si>
  <si>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</si>
  <si>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</si>
  <si>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</si>
  <si>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</si>
  <si>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</si>
  <si>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</si>
  <si>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</si>
  <si>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</si>
  <si>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</si>
  <si>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</si>
  <si>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</si>
  <si>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</si>
  <si>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</si>
  <si>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</si>
  <si>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</si>
  <si>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</si>
  <si>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</si>
  <si>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</si>
  <si>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</si>
  <si>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</si>
  <si>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</si>
  <si>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</si>
  <si>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</si>
  <si>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</si>
  <si>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</si>
  <si>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</si>
  <si>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</si>
  <si>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</si>
  <si>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</si>
  <si>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</si>
  <si>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</si>
  <si>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</si>
  <si>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</si>
  <si>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</si>
  <si>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</si>
  <si>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</si>
  <si>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</si>
  <si>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</si>
  <si>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</si>
  <si>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</si>
  <si>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</si>
  <si>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</si>
  <si>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</si>
  <si>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</si>
  <si>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</si>
  <si>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</si>
  <si>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</si>
  <si>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</si>
  <si>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</si>
  <si>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</si>
  <si>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</si>
  <si>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</si>
  <si>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</si>
  <si>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</si>
  <si>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</si>
  <si>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</si>
  <si>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</si>
  <si>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</si>
  <si>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</si>
  <si>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</si>
  <si>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</si>
  <si>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Sample</t>
  </si>
  <si>
    <t>Index ID</t>
  </si>
  <si>
    <t># of indexes</t>
  </si>
  <si>
    <t>Total Lib Vol. (ul)</t>
  </si>
  <si>
    <t>Initial TS Molarity [300-700bp] (pM)</t>
  </si>
  <si>
    <t>Final Molarity (nM)</t>
  </si>
  <si>
    <t>Amt Lib (ul)</t>
  </si>
  <si>
    <t>Final Pool Vol. (ul)</t>
  </si>
  <si>
    <t>Approx. TE to Vol. (ul)</t>
  </si>
  <si>
    <t>Total Sample Vol. (ul)</t>
  </si>
  <si>
    <t>1:2 dilution</t>
  </si>
  <si>
    <t>B01</t>
  </si>
  <si>
    <t>C01</t>
  </si>
  <si>
    <t>D01</t>
  </si>
  <si>
    <t>E01</t>
  </si>
  <si>
    <t>F01</t>
  </si>
  <si>
    <t>1:3 dilution</t>
  </si>
  <si>
    <t>G01</t>
  </si>
  <si>
    <t>H01</t>
  </si>
  <si>
    <t>B02</t>
  </si>
  <si>
    <t>C02</t>
  </si>
  <si>
    <t>D02</t>
  </si>
  <si>
    <t>E02</t>
  </si>
  <si>
    <t>F02</t>
  </si>
  <si>
    <t>G02</t>
  </si>
  <si>
    <t>H02</t>
  </si>
  <si>
    <t>A_A1</t>
  </si>
  <si>
    <t>A_A2</t>
  </si>
  <si>
    <t>1:5 dilution</t>
  </si>
  <si>
    <t>A_A3</t>
  </si>
  <si>
    <t>A_A4</t>
  </si>
  <si>
    <t>1:10 dilution</t>
  </si>
  <si>
    <t>1:4 dilution</t>
  </si>
  <si>
    <t>B03</t>
  </si>
  <si>
    <t>D03</t>
  </si>
  <si>
    <t>C03</t>
  </si>
  <si>
    <t>E03</t>
  </si>
  <si>
    <t>F03</t>
  </si>
  <si>
    <t>G03</t>
  </si>
  <si>
    <t>H03</t>
  </si>
  <si>
    <t>B04</t>
  </si>
  <si>
    <t>C04</t>
  </si>
  <si>
    <t>F04</t>
  </si>
  <si>
    <t>G04</t>
  </si>
  <si>
    <t>H04</t>
  </si>
  <si>
    <t>E04</t>
  </si>
  <si>
    <t>A_B8</t>
  </si>
  <si>
    <t>A_A5</t>
  </si>
  <si>
    <t>A_A6</t>
  </si>
  <si>
    <t>D05</t>
  </si>
  <si>
    <t>A_A7</t>
  </si>
  <si>
    <t>E05</t>
  </si>
  <si>
    <t>A_A8</t>
  </si>
  <si>
    <t>H05</t>
  </si>
  <si>
    <t>B06</t>
  </si>
  <si>
    <t>C06</t>
  </si>
  <si>
    <t>D06</t>
  </si>
  <si>
    <t>H06</t>
  </si>
  <si>
    <t>D07</t>
  </si>
  <si>
    <t>G07</t>
  </si>
  <si>
    <t>H07</t>
  </si>
  <si>
    <t>B08</t>
  </si>
  <si>
    <t>D08</t>
  </si>
  <si>
    <t>E08</t>
  </si>
  <si>
    <t>A_A9</t>
  </si>
  <si>
    <t>G08</t>
  </si>
  <si>
    <t>H08</t>
  </si>
  <si>
    <t>B09</t>
  </si>
  <si>
    <t>C09</t>
  </si>
  <si>
    <t>D09</t>
  </si>
  <si>
    <t>E09</t>
  </si>
  <si>
    <t>F09</t>
  </si>
  <si>
    <t>G09</t>
  </si>
  <si>
    <t>H09</t>
  </si>
  <si>
    <t>Index</t>
  </si>
  <si>
    <t>Dilution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</si>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</sst>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3" fillId="0" borderId="0"/>
  </cellStyleXfs>
  <cellXfs count="78">
    <xf numFmtId="0" fontId="0" fillId="0" borderId="0" xfId="0"/>
    <xf numFmtId="0" fontId="0" fillId="0" borderId="0" xfId="0" applyBorder="1"/>
    <xf numFmtId="0" fontId="0" fillId="7" borderId="0" xfId="0" applyFill="1" applyBorder="1"/>
    <xf numFmtId="0" fontId="0" fillId="0" borderId="1" xfId="0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" fillId="7" borderId="1" xfId="0" applyFont="1" applyFill="1" applyBorder="1"/>
    <xf numFmtId="0" fontId="0" fillId="8" borderId="1" xfId="0" applyFill="1" applyBorder="1" applyAlignment="1">
      <alignment horizontal="center"/>
    </xf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" fillId="7" borderId="1" xfId="0" applyFont="1" applyFill="1" applyBorder="1"/>
    <xf numFmtId="0" fontId="0" fillId="8" borderId="1" xfId="0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" fillId="7" borderId="1" xfId="0" applyFont="1" applyFill="1" applyBorder="1"/>
    <xf numFmtId="0" fontId="0" fillId="8" borderId="1" xfId="0" applyFill="1" applyBorder="1" applyAlignment="1">
      <alignment horizontal="center"/>
    </xf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1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</cellXfs>
  <cellStyles count="5">
    <cellStyle name="Bad 2" xfId="2" xr:uid="{C413D89F-8222-402E-A0D7-33CD3EA91BDA}"/>
    <cellStyle name="Good 2" xfId="1" xr:uid="{24C00FE9-7D6F-484E-85A0-2C3AABCD9C03}"/>
    <cellStyle name="Neutral 2" xfId="3" xr:uid="{7FBEB40C-2F1E-45D2-9D99-44456BE26DD6}"/>
    <cellStyle name="Normal" xfId="0" builtinId="0"/>
    <cellStyle name="Normal 2" xfId="4" xr:uid="{B6EF130E-DDD9-4ACB-994C-541AA98D79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5366-4327-4FB3-9824-75A9864D9885}">
  <dimension ref="A1:E96"/>
  <sheetViews>
    <sheetView tabSelected="1" topLeftCell="A43" workbookViewId="0">
      <selection activeCell="E58" sqref="E58"/>
    </sheetView>
  </sheetViews>
  <sheetFormatPr defaultRowHeight="15" x14ac:dyDescent="0.25"/>
  <cols>
    <col min="2" max="2" width="9.140625" style="57"/>
  </cols>
  <sheetData>
    <row r="1" spans="1:5" x14ac:dyDescent="0.25">
      <c r="A1" t="s">
        <v>95</v>
      </c>
      <c r="B1" s="57" t="s">
        <v>95</v>
      </c>
      <c r="C1" t="s">
        <v>335</v>
      </c>
      <c r="D1" t="s">
        <v>336</v>
      </c>
    </row>
    <row r="2" spans="1:5" x14ac:dyDescent="0.25">
      <c r="A2" t="s">
        <v>49</v>
      </c>
      <c r="B2" s="57" t="s">
        <v>325</v>
      </c>
      <c r="C2" t="s">
        <v>326</v>
      </c>
      <c r="D2" t="s">
        <v>337</v>
      </c>
    </row>
    <row r="3" spans="1:5" x14ac:dyDescent="0.25">
      <c r="A3" t="s">
        <v>84</v>
      </c>
      <c r="B3" s="57" t="s">
        <v>84</v>
      </c>
      <c r="C3" s="57" t="s">
        <v>297</v>
      </c>
      <c r="D3" s="57" t="s">
        <v>337</v>
      </c>
      <c r="E3" s="57"/>
    </row>
    <row r="4" spans="1:5" x14ac:dyDescent="0.25">
      <c r="A4" t="s">
        <v>69</v>
      </c>
      <c r="B4" s="57" t="s">
        <v>69</v>
      </c>
      <c r="C4" s="57" t="s">
        <v>278</v>
      </c>
      <c r="D4" s="57" t="s">
        <v>337</v>
      </c>
      <c r="E4" s="57"/>
    </row>
    <row r="5" spans="1:5" x14ac:dyDescent="0.25">
      <c r="A5" t="s">
        <v>90</v>
      </c>
      <c r="B5" s="57" t="s">
        <v>90</v>
      </c>
      <c r="C5" s="57" t="s">
        <v>272</v>
      </c>
      <c r="D5" s="57" t="s">
        <v>337</v>
      </c>
      <c r="E5" s="57"/>
    </row>
    <row r="6" spans="1:5" x14ac:dyDescent="0.25">
      <c r="A6" t="s">
        <v>68</v>
      </c>
      <c r="B6" s="57" t="s">
        <v>68</v>
      </c>
      <c r="C6" s="57" t="s">
        <v>273</v>
      </c>
      <c r="D6" s="57" t="s">
        <v>337</v>
      </c>
      <c r="E6" s="57"/>
    </row>
    <row r="7" spans="1:5" x14ac:dyDescent="0.25">
      <c r="A7" t="s">
        <v>15</v>
      </c>
      <c r="B7" s="57" t="s">
        <v>15</v>
      </c>
      <c r="C7" s="57" t="s">
        <v>274</v>
      </c>
      <c r="D7" s="57" t="s">
        <v>337</v>
      </c>
      <c r="E7" s="57"/>
    </row>
    <row r="8" spans="1:5" x14ac:dyDescent="0.25">
      <c r="A8" t="s">
        <v>83</v>
      </c>
      <c r="B8" s="57" t="s">
        <v>83</v>
      </c>
      <c r="C8" s="57" t="s">
        <v>294</v>
      </c>
      <c r="D8" s="57" t="s">
        <v>337</v>
      </c>
      <c r="E8" s="57"/>
    </row>
    <row r="9" spans="1:5" x14ac:dyDescent="0.25">
      <c r="A9" t="s">
        <v>58</v>
      </c>
      <c r="B9" s="57" t="s">
        <v>58</v>
      </c>
      <c r="C9" s="57" t="s">
        <v>296</v>
      </c>
      <c r="D9" s="57" t="s">
        <v>337</v>
      </c>
      <c r="E9" s="57"/>
    </row>
    <row r="10" spans="1:5" x14ac:dyDescent="0.25">
      <c r="A10" t="s">
        <v>32</v>
      </c>
      <c r="B10" s="57" t="s">
        <v>32</v>
      </c>
      <c r="C10" s="57" t="s">
        <v>295</v>
      </c>
      <c r="D10" s="57" t="s">
        <v>337</v>
      </c>
      <c r="E10" s="57"/>
    </row>
    <row r="11" spans="1:5" x14ac:dyDescent="0.25">
      <c r="A11" t="s">
        <v>18</v>
      </c>
      <c r="B11" s="57" t="s">
        <v>18</v>
      </c>
      <c r="C11" s="57" t="s">
        <v>274</v>
      </c>
      <c r="D11" s="57" t="s">
        <v>337</v>
      </c>
      <c r="E11" s="57"/>
    </row>
    <row r="12" spans="1:5" x14ac:dyDescent="0.25">
      <c r="A12" t="s">
        <v>65</v>
      </c>
      <c r="B12" s="57" t="s">
        <v>65</v>
      </c>
      <c r="C12" s="57" t="s">
        <v>275</v>
      </c>
      <c r="D12" s="57" t="s">
        <v>337</v>
      </c>
      <c r="E12" s="57"/>
    </row>
    <row r="13" spans="1:5" x14ac:dyDescent="0.25">
      <c r="A13" t="s">
        <v>47</v>
      </c>
      <c r="B13" s="57" t="s">
        <v>47</v>
      </c>
      <c r="C13" s="57" t="s">
        <v>276</v>
      </c>
      <c r="D13" s="57" t="s">
        <v>337</v>
      </c>
      <c r="E13" s="57"/>
    </row>
    <row r="14" spans="1:5" x14ac:dyDescent="0.25">
      <c r="A14" t="s">
        <v>87</v>
      </c>
      <c r="B14" s="57" t="s">
        <v>87</v>
      </c>
      <c r="C14" s="57" t="s">
        <v>98</v>
      </c>
      <c r="D14" s="57" t="s">
        <v>337</v>
      </c>
      <c r="E14" s="57"/>
    </row>
    <row r="15" spans="1:5" x14ac:dyDescent="0.25">
      <c r="A15" t="s">
        <v>53</v>
      </c>
      <c r="B15" s="57" t="s">
        <v>53</v>
      </c>
      <c r="C15" s="57" t="s">
        <v>334</v>
      </c>
      <c r="D15" s="57" t="s">
        <v>337</v>
      </c>
      <c r="E15" s="57"/>
    </row>
    <row r="16" spans="1:5" x14ac:dyDescent="0.25">
      <c r="A16" t="s">
        <v>89</v>
      </c>
      <c r="B16" s="57" t="s">
        <v>89</v>
      </c>
      <c r="C16" s="57" t="s">
        <v>283</v>
      </c>
      <c r="D16" s="57" t="s">
        <v>337</v>
      </c>
      <c r="E16" s="57"/>
    </row>
    <row r="17" spans="1:5" x14ac:dyDescent="0.25">
      <c r="A17" t="s">
        <v>23</v>
      </c>
      <c r="B17" s="57" t="s">
        <v>23</v>
      </c>
      <c r="C17" s="57" t="s">
        <v>284</v>
      </c>
      <c r="D17" s="57" t="s">
        <v>337</v>
      </c>
      <c r="E17" s="57"/>
    </row>
    <row r="18" spans="1:5" x14ac:dyDescent="0.25">
      <c r="A18" t="s">
        <v>22</v>
      </c>
      <c r="B18" s="57" t="s">
        <v>22</v>
      </c>
      <c r="C18" s="57" t="s">
        <v>285</v>
      </c>
      <c r="D18" s="57" t="s">
        <v>337</v>
      </c>
      <c r="E18" s="57"/>
    </row>
    <row r="19" spans="1:5" x14ac:dyDescent="0.25">
      <c r="A19" t="s">
        <v>64</v>
      </c>
      <c r="B19" s="57" t="s">
        <v>64</v>
      </c>
      <c r="C19" s="57" t="s">
        <v>286</v>
      </c>
      <c r="D19" s="57" t="s">
        <v>337</v>
      </c>
      <c r="E19" s="57"/>
    </row>
    <row r="20" spans="1:5" x14ac:dyDescent="0.25">
      <c r="A20" t="s">
        <v>26</v>
      </c>
      <c r="B20" s="57" t="s">
        <v>26</v>
      </c>
      <c r="C20" s="57" t="s">
        <v>304</v>
      </c>
      <c r="D20" s="57" t="s">
        <v>337</v>
      </c>
      <c r="E20" s="57"/>
    </row>
    <row r="21" spans="1:5" x14ac:dyDescent="0.25">
      <c r="A21" t="s">
        <v>55</v>
      </c>
      <c r="B21" s="57" t="s">
        <v>55</v>
      </c>
      <c r="C21" s="57" t="s">
        <v>305</v>
      </c>
      <c r="D21" s="57" t="s">
        <v>337</v>
      </c>
      <c r="E21" s="57"/>
    </row>
    <row r="22" spans="1:5" x14ac:dyDescent="0.25">
      <c r="A22" t="s">
        <v>76</v>
      </c>
      <c r="B22" s="57" t="s">
        <v>76</v>
      </c>
      <c r="C22" s="57" t="s">
        <v>96</v>
      </c>
      <c r="D22" s="57" t="s">
        <v>337</v>
      </c>
      <c r="E22" s="57"/>
    </row>
    <row r="23" spans="1:5" x14ac:dyDescent="0.25">
      <c r="A23" t="s">
        <v>9</v>
      </c>
      <c r="B23" s="57" t="s">
        <v>9</v>
      </c>
      <c r="C23" s="57" t="s">
        <v>294</v>
      </c>
      <c r="D23" s="57" t="s">
        <v>337</v>
      </c>
      <c r="E23" s="57"/>
    </row>
    <row r="24" spans="1:5" x14ac:dyDescent="0.25">
      <c r="A24" t="s">
        <v>77</v>
      </c>
      <c r="B24" s="57" t="s">
        <v>77</v>
      </c>
      <c r="C24" s="57" t="s">
        <v>272</v>
      </c>
      <c r="D24" s="57" t="s">
        <v>337</v>
      </c>
      <c r="E24" s="57"/>
    </row>
    <row r="25" spans="1:5" x14ac:dyDescent="0.25">
      <c r="A25" t="s">
        <v>31</v>
      </c>
      <c r="B25" s="57" t="s">
        <v>31</v>
      </c>
      <c r="C25" s="57" t="s">
        <v>285</v>
      </c>
      <c r="D25" s="57" t="s">
        <v>337</v>
      </c>
      <c r="E25" s="57"/>
    </row>
    <row r="26" spans="1:5" x14ac:dyDescent="0.25">
      <c r="A26" t="s">
        <v>44</v>
      </c>
      <c r="B26" s="57" t="s">
        <v>44</v>
      </c>
      <c r="C26" s="57" t="s">
        <v>286</v>
      </c>
      <c r="D26" s="57" t="s">
        <v>337</v>
      </c>
      <c r="E26" s="57"/>
    </row>
    <row r="27" spans="1:5" x14ac:dyDescent="0.25">
      <c r="A27" t="s">
        <v>0</v>
      </c>
      <c r="B27" s="57" t="s">
        <v>0</v>
      </c>
      <c r="C27" s="57" t="s">
        <v>98</v>
      </c>
      <c r="D27" s="57" t="s">
        <v>337</v>
      </c>
      <c r="E27" s="57"/>
    </row>
    <row r="28" spans="1:5" x14ac:dyDescent="0.25">
      <c r="A28" t="s">
        <v>79</v>
      </c>
      <c r="B28" s="57" t="s">
        <v>79</v>
      </c>
      <c r="C28" s="57" t="s">
        <v>294</v>
      </c>
      <c r="D28" s="57" t="s">
        <v>337</v>
      </c>
      <c r="E28" s="57"/>
    </row>
    <row r="29" spans="1:5" x14ac:dyDescent="0.25">
      <c r="A29" t="s">
        <v>30</v>
      </c>
      <c r="B29" s="57" t="s">
        <v>30</v>
      </c>
      <c r="C29" s="57" t="s">
        <v>295</v>
      </c>
      <c r="D29" s="57" t="s">
        <v>337</v>
      </c>
      <c r="E29" s="57"/>
    </row>
    <row r="30" spans="1:5" x14ac:dyDescent="0.25">
      <c r="A30" t="s">
        <v>24</v>
      </c>
      <c r="B30" s="57" t="s">
        <v>24</v>
      </c>
      <c r="C30" s="57" t="s">
        <v>99</v>
      </c>
      <c r="D30" s="57" t="s">
        <v>337</v>
      </c>
      <c r="E30" s="57"/>
    </row>
    <row r="31" spans="1:5" x14ac:dyDescent="0.25">
      <c r="A31" t="s">
        <v>19</v>
      </c>
      <c r="B31" s="57" t="s">
        <v>19</v>
      </c>
      <c r="C31" s="57" t="s">
        <v>101</v>
      </c>
      <c r="D31" s="57" t="s">
        <v>337</v>
      </c>
      <c r="E31" s="57"/>
    </row>
    <row r="32" spans="1:5" x14ac:dyDescent="0.25">
      <c r="A32" t="s">
        <v>82</v>
      </c>
      <c r="B32" s="57" t="s">
        <v>82</v>
      </c>
      <c r="C32" s="57" t="s">
        <v>319</v>
      </c>
      <c r="D32" s="57" t="s">
        <v>337</v>
      </c>
      <c r="E32" s="57"/>
    </row>
    <row r="33" spans="1:5" x14ac:dyDescent="0.25">
      <c r="A33" t="s">
        <v>5</v>
      </c>
      <c r="B33" s="57" t="s">
        <v>5</v>
      </c>
      <c r="C33" s="57" t="s">
        <v>321</v>
      </c>
      <c r="D33" s="57" t="s">
        <v>337</v>
      </c>
      <c r="E33" s="57"/>
    </row>
    <row r="34" spans="1:5" x14ac:dyDescent="0.25">
      <c r="A34" t="s">
        <v>21</v>
      </c>
      <c r="B34" s="57" t="s">
        <v>21</v>
      </c>
      <c r="C34" s="57" t="s">
        <v>333</v>
      </c>
      <c r="D34" s="57" t="s">
        <v>337</v>
      </c>
      <c r="E34" s="57"/>
    </row>
    <row r="35" spans="1:5" x14ac:dyDescent="0.25">
      <c r="A35" t="s">
        <v>1</v>
      </c>
      <c r="B35" s="57" t="s">
        <v>1</v>
      </c>
      <c r="C35" s="57" t="s">
        <v>280</v>
      </c>
      <c r="D35" s="57" t="s">
        <v>337</v>
      </c>
      <c r="E35" s="57"/>
    </row>
    <row r="36" spans="1:5" x14ac:dyDescent="0.25">
      <c r="A36" t="s">
        <v>57</v>
      </c>
      <c r="B36" s="57" t="s">
        <v>57</v>
      </c>
      <c r="C36" s="57" t="s">
        <v>281</v>
      </c>
      <c r="D36" s="57" t="s">
        <v>337</v>
      </c>
      <c r="E36" s="57"/>
    </row>
    <row r="37" spans="1:5" x14ac:dyDescent="0.25">
      <c r="A37" t="s">
        <v>61</v>
      </c>
      <c r="B37" s="57" t="s">
        <v>61</v>
      </c>
      <c r="C37" s="57" t="s">
        <v>282</v>
      </c>
      <c r="D37" s="57" t="s">
        <v>337</v>
      </c>
      <c r="E37" s="57"/>
    </row>
    <row r="38" spans="1:5" x14ac:dyDescent="0.25">
      <c r="A38" t="s">
        <v>41</v>
      </c>
      <c r="B38" s="57" t="s">
        <v>41</v>
      </c>
      <c r="C38" s="57" t="s">
        <v>99</v>
      </c>
      <c r="D38" s="57" t="s">
        <v>337</v>
      </c>
      <c r="E38" s="57"/>
    </row>
    <row r="39" spans="1:5" x14ac:dyDescent="0.25">
      <c r="A39" t="s">
        <v>38</v>
      </c>
      <c r="B39" s="57" t="s">
        <v>38</v>
      </c>
      <c r="C39" s="57" t="s">
        <v>302</v>
      </c>
      <c r="D39" s="57" t="s">
        <v>337</v>
      </c>
      <c r="E39" s="57"/>
    </row>
    <row r="40" spans="1:5" x14ac:dyDescent="0.25">
      <c r="A40" t="s">
        <v>16</v>
      </c>
      <c r="B40" s="57" t="s">
        <v>16</v>
      </c>
      <c r="C40" s="57" t="s">
        <v>303</v>
      </c>
      <c r="D40" s="57" t="s">
        <v>337</v>
      </c>
      <c r="E40" s="57"/>
    </row>
    <row r="41" spans="1:5" x14ac:dyDescent="0.25">
      <c r="A41" t="s">
        <v>27</v>
      </c>
      <c r="B41" s="57" t="s">
        <v>27</v>
      </c>
      <c r="C41" s="57" t="s">
        <v>281</v>
      </c>
      <c r="D41" s="57" t="s">
        <v>337</v>
      </c>
      <c r="E41" s="57"/>
    </row>
    <row r="42" spans="1:5" x14ac:dyDescent="0.25">
      <c r="A42" t="s">
        <v>20</v>
      </c>
      <c r="B42" s="57" t="s">
        <v>20</v>
      </c>
      <c r="C42" s="57" t="s">
        <v>283</v>
      </c>
      <c r="D42" s="57" t="s">
        <v>337</v>
      </c>
      <c r="E42" s="57"/>
    </row>
    <row r="43" spans="1:5" x14ac:dyDescent="0.25">
      <c r="A43" t="s">
        <v>81</v>
      </c>
      <c r="B43" s="57" t="s">
        <v>81</v>
      </c>
      <c r="C43" s="57" t="s">
        <v>284</v>
      </c>
      <c r="D43" s="57" t="s">
        <v>337</v>
      </c>
      <c r="E43" s="57"/>
    </row>
    <row r="44" spans="1:5" x14ac:dyDescent="0.25">
      <c r="A44" t="s">
        <v>13</v>
      </c>
      <c r="B44" s="57" t="s">
        <v>13</v>
      </c>
      <c r="C44" s="57" t="s">
        <v>96</v>
      </c>
      <c r="D44" s="57" t="s">
        <v>271</v>
      </c>
      <c r="E44" s="57"/>
    </row>
    <row r="45" spans="1:5" x14ac:dyDescent="0.25">
      <c r="A45" t="s">
        <v>2</v>
      </c>
      <c r="B45" s="57" t="s">
        <v>2</v>
      </c>
      <c r="C45" s="57" t="s">
        <v>273</v>
      </c>
      <c r="D45" s="57" t="s">
        <v>337</v>
      </c>
      <c r="E45" s="57"/>
    </row>
    <row r="46" spans="1:5" x14ac:dyDescent="0.25">
      <c r="A46" t="s">
        <v>6</v>
      </c>
      <c r="B46" s="57" t="s">
        <v>6</v>
      </c>
      <c r="C46" s="57" t="s">
        <v>98</v>
      </c>
      <c r="D46" s="57" t="s">
        <v>337</v>
      </c>
      <c r="E46" s="57"/>
    </row>
    <row r="47" spans="1:5" x14ac:dyDescent="0.25">
      <c r="A47" t="s">
        <v>92</v>
      </c>
      <c r="B47" s="57" t="s">
        <v>291</v>
      </c>
      <c r="C47" s="57" t="s">
        <v>281</v>
      </c>
      <c r="D47" s="57" t="s">
        <v>292</v>
      </c>
      <c r="E47" s="57"/>
    </row>
    <row r="48" spans="1:5" x14ac:dyDescent="0.25">
      <c r="A48" t="s">
        <v>51</v>
      </c>
      <c r="B48" s="57" t="s">
        <v>287</v>
      </c>
      <c r="C48" s="57" t="s">
        <v>278</v>
      </c>
      <c r="D48" s="57" t="s">
        <v>271</v>
      </c>
      <c r="E48" s="57"/>
    </row>
    <row r="49" spans="1:5" x14ac:dyDescent="0.25">
      <c r="A49" t="s">
        <v>29</v>
      </c>
      <c r="B49" s="57" t="s">
        <v>29</v>
      </c>
      <c r="C49" s="57" t="s">
        <v>275</v>
      </c>
      <c r="D49" s="57" t="s">
        <v>271</v>
      </c>
      <c r="E49" s="57"/>
    </row>
    <row r="50" spans="1:5" x14ac:dyDescent="0.25">
      <c r="A50" t="s">
        <v>59</v>
      </c>
      <c r="B50" s="57" t="s">
        <v>59</v>
      </c>
      <c r="C50" s="57" t="s">
        <v>279</v>
      </c>
      <c r="D50" s="57" t="s">
        <v>271</v>
      </c>
      <c r="E50" s="57"/>
    </row>
    <row r="51" spans="1:5" x14ac:dyDescent="0.25">
      <c r="A51" t="s">
        <v>54</v>
      </c>
      <c r="B51" s="57" t="s">
        <v>54</v>
      </c>
      <c r="C51" s="57" t="s">
        <v>298</v>
      </c>
      <c r="D51" s="57" t="s">
        <v>271</v>
      </c>
      <c r="E51" s="57"/>
    </row>
    <row r="52" spans="1:5" x14ac:dyDescent="0.25">
      <c r="A52" t="s">
        <v>12</v>
      </c>
      <c r="B52" s="57" t="s">
        <v>12</v>
      </c>
      <c r="C52" s="57" t="s">
        <v>299</v>
      </c>
      <c r="D52" s="57" t="s">
        <v>271</v>
      </c>
      <c r="E52" s="57"/>
    </row>
    <row r="53" spans="1:5" x14ac:dyDescent="0.25">
      <c r="A53" t="s">
        <v>48</v>
      </c>
      <c r="B53" s="57" t="s">
        <v>48</v>
      </c>
      <c r="C53" s="57" t="s">
        <v>300</v>
      </c>
      <c r="D53" s="57" t="s">
        <v>271</v>
      </c>
      <c r="E53" s="57"/>
    </row>
    <row r="54" spans="1:5" x14ac:dyDescent="0.25">
      <c r="A54" t="s">
        <v>93</v>
      </c>
      <c r="B54" s="57" t="s">
        <v>93</v>
      </c>
      <c r="C54" s="57" t="s">
        <v>279</v>
      </c>
      <c r="D54" s="57" t="s">
        <v>271</v>
      </c>
      <c r="E54" s="57"/>
    </row>
    <row r="55" spans="1:5" x14ac:dyDescent="0.25">
      <c r="A55" t="s">
        <v>28</v>
      </c>
      <c r="B55" s="57" t="s">
        <v>28</v>
      </c>
      <c r="C55" s="57" t="s">
        <v>97</v>
      </c>
      <c r="D55" s="57" t="s">
        <v>271</v>
      </c>
      <c r="E55" s="57"/>
    </row>
    <row r="56" spans="1:5" x14ac:dyDescent="0.25">
      <c r="A56" t="s">
        <v>33</v>
      </c>
      <c r="B56" s="57" t="s">
        <v>33</v>
      </c>
      <c r="C56" s="57" t="s">
        <v>280</v>
      </c>
      <c r="D56" s="57" t="s">
        <v>271</v>
      </c>
      <c r="E56" s="57"/>
    </row>
    <row r="57" spans="1:5" x14ac:dyDescent="0.25">
      <c r="A57" t="s">
        <v>10</v>
      </c>
      <c r="B57" s="57" t="s">
        <v>10</v>
      </c>
      <c r="C57" s="57" t="s">
        <v>322</v>
      </c>
      <c r="D57" s="57" t="s">
        <v>271</v>
      </c>
      <c r="E57" s="57"/>
    </row>
    <row r="58" spans="1:5" x14ac:dyDescent="0.25">
      <c r="A58" t="s">
        <v>17</v>
      </c>
      <c r="B58" s="57" t="s">
        <v>17</v>
      </c>
      <c r="C58" s="57" t="s">
        <v>324</v>
      </c>
      <c r="D58" s="57" t="s">
        <v>271</v>
      </c>
      <c r="E58" s="57"/>
    </row>
    <row r="59" spans="1:5" x14ac:dyDescent="0.25">
      <c r="A59" t="s">
        <v>62</v>
      </c>
      <c r="B59" s="57" t="s">
        <v>62</v>
      </c>
      <c r="C59" s="57" t="s">
        <v>301</v>
      </c>
      <c r="D59" s="57" t="s">
        <v>271</v>
      </c>
      <c r="E59" s="57"/>
    </row>
    <row r="60" spans="1:5" x14ac:dyDescent="0.25">
      <c r="A60" t="s">
        <v>73</v>
      </c>
      <c r="B60" s="57" t="s">
        <v>73</v>
      </c>
      <c r="C60" s="57" t="s">
        <v>302</v>
      </c>
      <c r="D60" s="57" t="s">
        <v>271</v>
      </c>
      <c r="E60" s="57"/>
    </row>
    <row r="61" spans="1:5" x14ac:dyDescent="0.25">
      <c r="A61" t="s">
        <v>71</v>
      </c>
      <c r="B61" s="57" t="s">
        <v>71</v>
      </c>
      <c r="C61" s="57" t="s">
        <v>306</v>
      </c>
      <c r="D61" s="57" t="s">
        <v>271</v>
      </c>
      <c r="E61" s="57"/>
    </row>
    <row r="62" spans="1:5" x14ac:dyDescent="0.25">
      <c r="A62" t="s">
        <v>91</v>
      </c>
      <c r="B62" s="57" t="s">
        <v>91</v>
      </c>
      <c r="C62" s="57" t="s">
        <v>102</v>
      </c>
      <c r="D62" s="57" t="s">
        <v>271</v>
      </c>
      <c r="E62" s="57"/>
    </row>
    <row r="63" spans="1:5" x14ac:dyDescent="0.25">
      <c r="A63" t="s">
        <v>25</v>
      </c>
      <c r="B63" s="57" t="s">
        <v>25</v>
      </c>
      <c r="C63" s="57" t="s">
        <v>104</v>
      </c>
      <c r="D63" s="57" t="s">
        <v>271</v>
      </c>
      <c r="E63" s="57"/>
    </row>
    <row r="64" spans="1:5" x14ac:dyDescent="0.25">
      <c r="A64" t="s">
        <v>70</v>
      </c>
      <c r="B64" s="57" t="s">
        <v>70</v>
      </c>
      <c r="C64" s="57" t="s">
        <v>222</v>
      </c>
      <c r="D64" s="57" t="s">
        <v>271</v>
      </c>
      <c r="E64" s="57"/>
    </row>
    <row r="65" spans="1:5" x14ac:dyDescent="0.25">
      <c r="A65" t="s">
        <v>34</v>
      </c>
      <c r="B65" s="57" t="s">
        <v>34</v>
      </c>
      <c r="C65" s="57" t="s">
        <v>320</v>
      </c>
      <c r="D65" s="57" t="s">
        <v>271</v>
      </c>
      <c r="E65" s="57"/>
    </row>
    <row r="66" spans="1:5" x14ac:dyDescent="0.25">
      <c r="A66" t="s">
        <v>52</v>
      </c>
      <c r="B66" s="57" t="s">
        <v>52</v>
      </c>
      <c r="C66" s="57" t="s">
        <v>97</v>
      </c>
      <c r="D66" s="57" t="s">
        <v>271</v>
      </c>
      <c r="E66" s="57"/>
    </row>
    <row r="67" spans="1:5" x14ac:dyDescent="0.25">
      <c r="A67" t="s">
        <v>74</v>
      </c>
      <c r="B67" s="57" t="s">
        <v>74</v>
      </c>
      <c r="C67" s="57" t="s">
        <v>301</v>
      </c>
      <c r="D67" s="57" t="s">
        <v>271</v>
      </c>
      <c r="E67" s="57"/>
    </row>
    <row r="68" spans="1:5" x14ac:dyDescent="0.25">
      <c r="A68" t="s">
        <v>80</v>
      </c>
      <c r="B68" s="57" t="s">
        <v>80</v>
      </c>
      <c r="C68" s="57" t="s">
        <v>282</v>
      </c>
      <c r="D68" s="57" t="s">
        <v>271</v>
      </c>
      <c r="E68" s="57"/>
    </row>
    <row r="69" spans="1:5" x14ac:dyDescent="0.25">
      <c r="A69" t="s">
        <v>36</v>
      </c>
      <c r="B69" s="57" t="s">
        <v>308</v>
      </c>
      <c r="C69" s="57" t="s">
        <v>100</v>
      </c>
      <c r="D69" s="57" t="s">
        <v>277</v>
      </c>
      <c r="E69" s="57"/>
    </row>
    <row r="70" spans="1:5" x14ac:dyDescent="0.25">
      <c r="A70" t="s">
        <v>86</v>
      </c>
      <c r="B70" s="57" t="s">
        <v>86</v>
      </c>
      <c r="C70" s="57" t="s">
        <v>327</v>
      </c>
      <c r="D70" s="57" t="s">
        <v>277</v>
      </c>
      <c r="E70" s="57"/>
    </row>
    <row r="71" spans="1:5" x14ac:dyDescent="0.25">
      <c r="A71" t="s">
        <v>94</v>
      </c>
      <c r="B71" s="57" t="s">
        <v>94</v>
      </c>
      <c r="C71" s="57" t="s">
        <v>103</v>
      </c>
      <c r="D71" s="57" t="s">
        <v>277</v>
      </c>
      <c r="E71" s="57"/>
    </row>
    <row r="72" spans="1:5" x14ac:dyDescent="0.25">
      <c r="A72" t="s">
        <v>67</v>
      </c>
      <c r="B72" s="57" t="s">
        <v>67</v>
      </c>
      <c r="C72" s="57" t="s">
        <v>276</v>
      </c>
      <c r="D72" s="57" t="s">
        <v>277</v>
      </c>
      <c r="E72" s="57"/>
    </row>
    <row r="73" spans="1:5" x14ac:dyDescent="0.25">
      <c r="A73" t="s">
        <v>40</v>
      </c>
      <c r="B73" s="57" t="s">
        <v>40</v>
      </c>
      <c r="C73" s="57" t="s">
        <v>278</v>
      </c>
      <c r="D73" s="57" t="s">
        <v>277</v>
      </c>
      <c r="E73" s="57"/>
    </row>
    <row r="74" spans="1:5" x14ac:dyDescent="0.25">
      <c r="A74" t="s">
        <v>39</v>
      </c>
      <c r="B74" s="57" t="s">
        <v>39</v>
      </c>
      <c r="C74" s="57" t="s">
        <v>96</v>
      </c>
      <c r="D74" s="57" t="s">
        <v>277</v>
      </c>
      <c r="E74" s="57"/>
    </row>
    <row r="75" spans="1:5" x14ac:dyDescent="0.25">
      <c r="A75" t="s">
        <v>42</v>
      </c>
      <c r="B75" s="57" t="s">
        <v>42</v>
      </c>
      <c r="C75" s="57" t="s">
        <v>323</v>
      </c>
      <c r="D75" s="57" t="s">
        <v>277</v>
      </c>
      <c r="E75" s="57"/>
    </row>
    <row r="76" spans="1:5" x14ac:dyDescent="0.25">
      <c r="A76" t="s">
        <v>43</v>
      </c>
      <c r="B76" s="57" t="s">
        <v>43</v>
      </c>
      <c r="C76" s="57" t="s">
        <v>272</v>
      </c>
      <c r="D76" s="57" t="s">
        <v>277</v>
      </c>
      <c r="E76" s="57"/>
    </row>
    <row r="77" spans="1:5" x14ac:dyDescent="0.25">
      <c r="A77" t="s">
        <v>37</v>
      </c>
      <c r="B77" s="57" t="s">
        <v>37</v>
      </c>
      <c r="C77" s="57" t="s">
        <v>274</v>
      </c>
      <c r="D77" s="57" t="s">
        <v>277</v>
      </c>
      <c r="E77" s="57"/>
    </row>
    <row r="78" spans="1:5" x14ac:dyDescent="0.25">
      <c r="A78" t="s">
        <v>45</v>
      </c>
      <c r="B78" s="57" t="s">
        <v>45</v>
      </c>
      <c r="C78" s="57" t="s">
        <v>275</v>
      </c>
      <c r="D78" s="57" t="s">
        <v>277</v>
      </c>
      <c r="E78" s="57"/>
    </row>
    <row r="79" spans="1:5" x14ac:dyDescent="0.25">
      <c r="A79" t="s">
        <v>88</v>
      </c>
      <c r="B79" s="57" t="s">
        <v>88</v>
      </c>
      <c r="C79" s="57" t="s">
        <v>282</v>
      </c>
      <c r="D79" s="57" t="s">
        <v>277</v>
      </c>
      <c r="E79" s="57"/>
    </row>
    <row r="80" spans="1:5" x14ac:dyDescent="0.25">
      <c r="A80" t="s">
        <v>46</v>
      </c>
      <c r="B80" s="57" t="s">
        <v>46</v>
      </c>
      <c r="C80" s="57" t="s">
        <v>331</v>
      </c>
      <c r="D80" s="57" t="s">
        <v>277</v>
      </c>
      <c r="E80" s="57"/>
    </row>
    <row r="81" spans="1:5" x14ac:dyDescent="0.25">
      <c r="A81" t="s">
        <v>8</v>
      </c>
      <c r="B81" s="57" t="s">
        <v>8</v>
      </c>
      <c r="C81" s="57" t="s">
        <v>286</v>
      </c>
      <c r="D81" s="57" t="s">
        <v>277</v>
      </c>
      <c r="E81" s="57"/>
    </row>
    <row r="82" spans="1:5" x14ac:dyDescent="0.25">
      <c r="A82" t="s">
        <v>72</v>
      </c>
      <c r="B82" s="57" t="s">
        <v>72</v>
      </c>
      <c r="C82" s="57" t="s">
        <v>329</v>
      </c>
      <c r="D82" s="57" t="s">
        <v>277</v>
      </c>
      <c r="E82" s="57"/>
    </row>
    <row r="83" spans="1:5" x14ac:dyDescent="0.25">
      <c r="A83" t="s">
        <v>66</v>
      </c>
      <c r="B83" s="57" t="s">
        <v>66</v>
      </c>
      <c r="C83" s="57" t="s">
        <v>283</v>
      </c>
      <c r="D83" s="57" t="s">
        <v>293</v>
      </c>
      <c r="E83" s="57"/>
    </row>
    <row r="84" spans="1:5" x14ac:dyDescent="0.25">
      <c r="A84" t="s">
        <v>63</v>
      </c>
      <c r="B84" s="57" t="s">
        <v>63</v>
      </c>
      <c r="C84" s="57" t="s">
        <v>285</v>
      </c>
      <c r="D84" s="57" t="s">
        <v>293</v>
      </c>
      <c r="E84" s="57"/>
    </row>
    <row r="85" spans="1:5" x14ac:dyDescent="0.25">
      <c r="A85" t="s">
        <v>50</v>
      </c>
      <c r="B85" s="57" t="s">
        <v>288</v>
      </c>
      <c r="C85" s="57" t="s">
        <v>279</v>
      </c>
      <c r="D85" s="57" t="s">
        <v>289</v>
      </c>
      <c r="E85" s="57"/>
    </row>
    <row r="86" spans="1:5" x14ac:dyDescent="0.25">
      <c r="A86" t="s">
        <v>75</v>
      </c>
      <c r="B86" s="57" t="s">
        <v>290</v>
      </c>
      <c r="C86" s="57" t="s">
        <v>280</v>
      </c>
      <c r="D86" s="57" t="s">
        <v>289</v>
      </c>
      <c r="E86" s="57"/>
    </row>
    <row r="87" spans="1:5" x14ac:dyDescent="0.25">
      <c r="A87" t="s">
        <v>56</v>
      </c>
      <c r="B87" s="57" t="s">
        <v>309</v>
      </c>
      <c r="C87" s="57" t="s">
        <v>310</v>
      </c>
      <c r="D87" s="57" t="s">
        <v>289</v>
      </c>
      <c r="E87" s="57"/>
    </row>
    <row r="88" spans="1:5" x14ac:dyDescent="0.25">
      <c r="A88" t="s">
        <v>14</v>
      </c>
      <c r="B88" s="57" t="s">
        <v>311</v>
      </c>
      <c r="C88" s="57" t="s">
        <v>312</v>
      </c>
      <c r="D88" s="57" t="s">
        <v>289</v>
      </c>
      <c r="E88" s="57"/>
    </row>
    <row r="89" spans="1:5" x14ac:dyDescent="0.25">
      <c r="A89" t="s">
        <v>85</v>
      </c>
      <c r="B89" s="57" t="s">
        <v>313</v>
      </c>
      <c r="C89" s="57" t="s">
        <v>314</v>
      </c>
      <c r="D89" s="57" t="s">
        <v>289</v>
      </c>
      <c r="E89" s="57"/>
    </row>
    <row r="90" spans="1:5" x14ac:dyDescent="0.25">
      <c r="A90" t="s">
        <v>4</v>
      </c>
      <c r="B90" s="57" t="s">
        <v>4</v>
      </c>
      <c r="C90" s="57" t="s">
        <v>328</v>
      </c>
      <c r="D90" s="57" t="s">
        <v>289</v>
      </c>
      <c r="E90" s="57"/>
    </row>
    <row r="91" spans="1:5" x14ac:dyDescent="0.25">
      <c r="A91" t="s">
        <v>3</v>
      </c>
      <c r="B91" s="57" t="s">
        <v>3</v>
      </c>
      <c r="C91" s="57" t="s">
        <v>330</v>
      </c>
      <c r="D91" s="57" t="s">
        <v>289</v>
      </c>
      <c r="E91" s="57"/>
    </row>
    <row r="92" spans="1:5" x14ac:dyDescent="0.25">
      <c r="A92" t="s">
        <v>11</v>
      </c>
      <c r="B92" s="57" t="s">
        <v>11</v>
      </c>
      <c r="C92" s="57" t="s">
        <v>332</v>
      </c>
      <c r="D92" s="57" t="s">
        <v>289</v>
      </c>
      <c r="E92" s="57"/>
    </row>
    <row r="93" spans="1:5" x14ac:dyDescent="0.25">
      <c r="A93" t="s">
        <v>78</v>
      </c>
      <c r="B93" s="57" t="s">
        <v>78</v>
      </c>
      <c r="C93" s="57" t="s">
        <v>315</v>
      </c>
      <c r="D93" s="57" t="s">
        <v>289</v>
      </c>
      <c r="E93" s="57"/>
    </row>
    <row r="94" spans="1:5" x14ac:dyDescent="0.25">
      <c r="A94" t="s">
        <v>7</v>
      </c>
      <c r="B94" s="57" t="s">
        <v>7</v>
      </c>
      <c r="C94" s="57" t="s">
        <v>316</v>
      </c>
      <c r="D94" s="57" t="s">
        <v>289</v>
      </c>
      <c r="E94" s="57"/>
    </row>
    <row r="95" spans="1:5" x14ac:dyDescent="0.25">
      <c r="A95" t="s">
        <v>35</v>
      </c>
      <c r="B95" s="57" t="s">
        <v>35</v>
      </c>
      <c r="C95" s="57" t="s">
        <v>317</v>
      </c>
      <c r="D95" s="57" t="s">
        <v>289</v>
      </c>
      <c r="E95" s="57"/>
    </row>
    <row r="96" spans="1:5" x14ac:dyDescent="0.25">
      <c r="A96" t="s">
        <v>60</v>
      </c>
      <c r="B96" s="57" t="s">
        <v>60</v>
      </c>
      <c r="C96" s="57" t="s">
        <v>318</v>
      </c>
      <c r="D96" s="57" t="s">
        <v>289</v>
      </c>
      <c r="E96" s="57"/>
    </row>
  </sheetData>
  <sortState xmlns:xlrd2="http://schemas.microsoft.com/office/spreadsheetml/2017/richdata2" ref="A2:D96">
    <sortCondition ref="D2:D96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118B-5A9D-4C5A-A5B6-BD5010CCE72C}">
  <dimension ref="A1:E96"/>
  <sheetViews>
    <sheetView topLeftCell="A4" workbookViewId="0">
      <selection activeCell="C2" sqref="C2"/>
    </sheetView>
  </sheetViews>
  <sheetFormatPr defaultRowHeight="15" x14ac:dyDescent="0.25"/>
  <sheetData>
    <row r="1" spans="1:5" x14ac:dyDescent="0.25">
      <c r="A1" t="s">
        <v>191</v>
      </c>
      <c r="B1" t="s">
        <v>191</v>
      </c>
    </row>
    <row r="2" spans="1:5" x14ac:dyDescent="0.25">
      <c r="A2" t="s">
        <v>192</v>
      </c>
      <c r="B2" t="s">
        <v>192</v>
      </c>
      <c r="C2">
        <v>1</v>
      </c>
      <c r="D2" t="str">
        <f>CONCATENATE(B2,C2)</f>
        <v>A21</v>
      </c>
      <c r="E2" t="s">
        <v>191</v>
      </c>
    </row>
    <row r="3" spans="1:5" x14ac:dyDescent="0.25">
      <c r="A3" t="s">
        <v>193</v>
      </c>
      <c r="B3" t="s">
        <v>193</v>
      </c>
      <c r="C3">
        <v>2</v>
      </c>
      <c r="D3" t="str">
        <f t="shared" ref="D3:E66" si="0">CONCATENATE(B3,C3)</f>
        <v>A32</v>
      </c>
      <c r="E3" t="s">
        <v>192</v>
      </c>
    </row>
    <row r="4" spans="1:5" x14ac:dyDescent="0.25">
      <c r="A4" t="s">
        <v>194</v>
      </c>
      <c r="B4" t="s">
        <v>194</v>
      </c>
      <c r="C4">
        <v>3</v>
      </c>
      <c r="D4" t="str">
        <f t="shared" si="0"/>
        <v>A43</v>
      </c>
      <c r="E4" t="s">
        <v>193</v>
      </c>
    </row>
    <row r="5" spans="1:5" x14ac:dyDescent="0.25">
      <c r="A5" t="s">
        <v>195</v>
      </c>
      <c r="B5" t="s">
        <v>195</v>
      </c>
      <c r="C5">
        <v>4</v>
      </c>
      <c r="D5" t="str">
        <f t="shared" si="0"/>
        <v>A54</v>
      </c>
      <c r="E5" t="s">
        <v>194</v>
      </c>
    </row>
    <row r="6" spans="1:5" x14ac:dyDescent="0.25">
      <c r="A6" t="s">
        <v>196</v>
      </c>
      <c r="B6" t="s">
        <v>196</v>
      </c>
      <c r="C6">
        <v>5</v>
      </c>
      <c r="D6" t="str">
        <f t="shared" si="0"/>
        <v>A65</v>
      </c>
      <c r="E6" t="s">
        <v>195</v>
      </c>
    </row>
    <row r="7" spans="1:5" x14ac:dyDescent="0.25">
      <c r="A7" t="s">
        <v>197</v>
      </c>
      <c r="B7" t="s">
        <v>197</v>
      </c>
      <c r="C7">
        <v>6</v>
      </c>
      <c r="D7" t="str">
        <f t="shared" si="0"/>
        <v>A76</v>
      </c>
      <c r="E7" t="s">
        <v>196</v>
      </c>
    </row>
    <row r="8" spans="1:5" x14ac:dyDescent="0.25">
      <c r="A8" t="s">
        <v>198</v>
      </c>
      <c r="B8" t="s">
        <v>198</v>
      </c>
      <c r="C8">
        <v>7</v>
      </c>
      <c r="D8" t="str">
        <f t="shared" si="0"/>
        <v>A87</v>
      </c>
      <c r="E8" t="s">
        <v>197</v>
      </c>
    </row>
    <row r="9" spans="1:5" x14ac:dyDescent="0.25">
      <c r="A9" t="s">
        <v>199</v>
      </c>
      <c r="B9" t="s">
        <v>199</v>
      </c>
      <c r="C9">
        <v>8</v>
      </c>
      <c r="D9" t="str">
        <f t="shared" si="0"/>
        <v>A98</v>
      </c>
      <c r="E9" t="s">
        <v>198</v>
      </c>
    </row>
    <row r="10" spans="1:5" x14ac:dyDescent="0.25">
      <c r="A10" t="s">
        <v>104</v>
      </c>
      <c r="B10" t="s">
        <v>104</v>
      </c>
      <c r="C10">
        <v>9</v>
      </c>
      <c r="D10" t="str">
        <f t="shared" si="0"/>
        <v>A109</v>
      </c>
      <c r="E10" t="s">
        <v>199</v>
      </c>
    </row>
    <row r="11" spans="1:5" x14ac:dyDescent="0.25">
      <c r="A11" t="s">
        <v>105</v>
      </c>
      <c r="B11" t="s">
        <v>105</v>
      </c>
      <c r="C11">
        <v>10</v>
      </c>
      <c r="D11" t="str">
        <f t="shared" si="0"/>
        <v>A1110</v>
      </c>
      <c r="E11" t="s">
        <v>104</v>
      </c>
    </row>
    <row r="12" spans="1:5" x14ac:dyDescent="0.25">
      <c r="A12" t="s">
        <v>106</v>
      </c>
      <c r="B12" t="s">
        <v>106</v>
      </c>
      <c r="C12">
        <v>11</v>
      </c>
      <c r="D12" t="str">
        <f t="shared" si="0"/>
        <v>A1211</v>
      </c>
      <c r="E12" t="s">
        <v>105</v>
      </c>
    </row>
    <row r="13" spans="1:5" x14ac:dyDescent="0.25">
      <c r="A13" t="s">
        <v>119</v>
      </c>
      <c r="B13" t="s">
        <v>107</v>
      </c>
      <c r="C13">
        <v>12</v>
      </c>
      <c r="D13" t="str">
        <f t="shared" si="0"/>
        <v>A1312</v>
      </c>
      <c r="E13" t="s">
        <v>106</v>
      </c>
    </row>
    <row r="14" spans="1:5" x14ac:dyDescent="0.25">
      <c r="A14" t="s">
        <v>130</v>
      </c>
      <c r="B14" t="s">
        <v>108</v>
      </c>
      <c r="C14">
        <v>13</v>
      </c>
      <c r="D14" t="str">
        <f t="shared" si="0"/>
        <v>A1413</v>
      </c>
      <c r="E14" t="s">
        <v>107</v>
      </c>
    </row>
    <row r="15" spans="1:5" x14ac:dyDescent="0.25">
      <c r="A15" t="s">
        <v>136</v>
      </c>
      <c r="B15" t="s">
        <v>109</v>
      </c>
      <c r="C15">
        <v>14</v>
      </c>
      <c r="D15" t="str">
        <f t="shared" si="0"/>
        <v>A1514</v>
      </c>
      <c r="E15" t="s">
        <v>108</v>
      </c>
    </row>
    <row r="16" spans="1:5" x14ac:dyDescent="0.25">
      <c r="A16" t="s">
        <v>137</v>
      </c>
      <c r="B16" t="s">
        <v>110</v>
      </c>
      <c r="C16">
        <v>15</v>
      </c>
      <c r="D16" t="str">
        <f t="shared" si="0"/>
        <v>A1615</v>
      </c>
      <c r="E16" t="s">
        <v>109</v>
      </c>
    </row>
    <row r="17" spans="1:5" x14ac:dyDescent="0.25">
      <c r="A17" t="s">
        <v>138</v>
      </c>
      <c r="B17" t="s">
        <v>111</v>
      </c>
      <c r="C17">
        <v>16</v>
      </c>
      <c r="D17" t="str">
        <f t="shared" si="0"/>
        <v>A1716</v>
      </c>
      <c r="E17" t="s">
        <v>110</v>
      </c>
    </row>
    <row r="18" spans="1:5" x14ac:dyDescent="0.25">
      <c r="A18" t="s">
        <v>139</v>
      </c>
      <c r="B18" t="s">
        <v>112</v>
      </c>
      <c r="C18">
        <v>17</v>
      </c>
      <c r="D18" t="str">
        <f t="shared" si="0"/>
        <v>A1817</v>
      </c>
      <c r="E18" t="s">
        <v>111</v>
      </c>
    </row>
    <row r="19" spans="1:5" x14ac:dyDescent="0.25">
      <c r="A19" t="s">
        <v>140</v>
      </c>
      <c r="B19" t="s">
        <v>113</v>
      </c>
      <c r="C19">
        <v>18</v>
      </c>
      <c r="D19" t="str">
        <f t="shared" si="0"/>
        <v>A1918</v>
      </c>
      <c r="E19" t="s">
        <v>112</v>
      </c>
    </row>
    <row r="20" spans="1:5" x14ac:dyDescent="0.25">
      <c r="A20" t="s">
        <v>200</v>
      </c>
      <c r="B20" t="s">
        <v>114</v>
      </c>
      <c r="C20">
        <v>19</v>
      </c>
      <c r="D20" t="str">
        <f t="shared" si="0"/>
        <v>A2019</v>
      </c>
      <c r="E20" t="s">
        <v>113</v>
      </c>
    </row>
    <row r="21" spans="1:5" x14ac:dyDescent="0.25">
      <c r="A21" t="s">
        <v>141</v>
      </c>
      <c r="B21" t="s">
        <v>115</v>
      </c>
      <c r="C21">
        <v>20</v>
      </c>
      <c r="D21" t="str">
        <f t="shared" si="0"/>
        <v>A2120</v>
      </c>
      <c r="E21" t="s">
        <v>114</v>
      </c>
    </row>
    <row r="22" spans="1:5" x14ac:dyDescent="0.25">
      <c r="A22" t="s">
        <v>120</v>
      </c>
      <c r="B22" t="s">
        <v>116</v>
      </c>
      <c r="C22">
        <v>21</v>
      </c>
      <c r="D22" t="str">
        <f t="shared" si="0"/>
        <v>A2221</v>
      </c>
      <c r="E22" t="s">
        <v>115</v>
      </c>
    </row>
    <row r="23" spans="1:5" x14ac:dyDescent="0.25">
      <c r="A23" t="s">
        <v>121</v>
      </c>
      <c r="B23" t="s">
        <v>117</v>
      </c>
      <c r="C23">
        <v>22</v>
      </c>
      <c r="D23" t="str">
        <f t="shared" si="0"/>
        <v>A2322</v>
      </c>
      <c r="E23" t="s">
        <v>116</v>
      </c>
    </row>
    <row r="24" spans="1:5" x14ac:dyDescent="0.25">
      <c r="A24" t="s">
        <v>122</v>
      </c>
      <c r="B24" t="s">
        <v>118</v>
      </c>
      <c r="C24">
        <v>23</v>
      </c>
      <c r="D24" t="str">
        <f t="shared" si="0"/>
        <v>A2423</v>
      </c>
      <c r="E24" t="s">
        <v>117</v>
      </c>
    </row>
    <row r="25" spans="1:5" x14ac:dyDescent="0.25">
      <c r="A25" t="s">
        <v>201</v>
      </c>
      <c r="B25" t="s">
        <v>119</v>
      </c>
      <c r="C25">
        <v>24</v>
      </c>
      <c r="D25" t="str">
        <f t="shared" si="0"/>
        <v>B124</v>
      </c>
      <c r="E25" t="s">
        <v>118</v>
      </c>
    </row>
    <row r="26" spans="1:5" x14ac:dyDescent="0.25">
      <c r="A26" t="s">
        <v>202</v>
      </c>
      <c r="B26" t="s">
        <v>120</v>
      </c>
      <c r="C26">
        <v>1</v>
      </c>
      <c r="D26" t="str">
        <f t="shared" si="0"/>
        <v>B101</v>
      </c>
      <c r="E26" t="s">
        <v>119</v>
      </c>
    </row>
    <row r="27" spans="1:5" x14ac:dyDescent="0.25">
      <c r="A27" t="s">
        <v>203</v>
      </c>
      <c r="B27" t="s">
        <v>121</v>
      </c>
      <c r="C27">
        <v>10</v>
      </c>
      <c r="D27" t="str">
        <f t="shared" si="0"/>
        <v>B1110</v>
      </c>
      <c r="E27" t="s">
        <v>120</v>
      </c>
    </row>
    <row r="28" spans="1:5" x14ac:dyDescent="0.25">
      <c r="A28" t="s">
        <v>204</v>
      </c>
      <c r="B28" t="s">
        <v>122</v>
      </c>
      <c r="C28">
        <v>11</v>
      </c>
      <c r="D28" t="str">
        <f t="shared" si="0"/>
        <v>B1211</v>
      </c>
      <c r="E28" t="s">
        <v>121</v>
      </c>
    </row>
    <row r="29" spans="1:5" x14ac:dyDescent="0.25">
      <c r="A29" t="s">
        <v>205</v>
      </c>
      <c r="B29" t="s">
        <v>123</v>
      </c>
      <c r="C29">
        <v>12</v>
      </c>
      <c r="D29" t="str">
        <f t="shared" si="0"/>
        <v>B1312</v>
      </c>
      <c r="E29" t="s">
        <v>122</v>
      </c>
    </row>
    <row r="30" spans="1:5" x14ac:dyDescent="0.25">
      <c r="A30" t="s">
        <v>206</v>
      </c>
      <c r="B30" t="s">
        <v>124</v>
      </c>
      <c r="C30">
        <v>13</v>
      </c>
      <c r="D30" t="str">
        <f t="shared" si="0"/>
        <v>B1413</v>
      </c>
      <c r="E30" t="s">
        <v>123</v>
      </c>
    </row>
    <row r="31" spans="1:5" x14ac:dyDescent="0.25">
      <c r="A31" t="s">
        <v>207</v>
      </c>
      <c r="B31" t="s">
        <v>125</v>
      </c>
      <c r="C31">
        <v>14</v>
      </c>
      <c r="D31" t="str">
        <f t="shared" si="0"/>
        <v>B1514</v>
      </c>
      <c r="E31" t="s">
        <v>124</v>
      </c>
    </row>
    <row r="32" spans="1:5" x14ac:dyDescent="0.25">
      <c r="A32" t="s">
        <v>208</v>
      </c>
      <c r="B32" t="s">
        <v>126</v>
      </c>
      <c r="C32">
        <v>15</v>
      </c>
      <c r="D32" t="str">
        <f t="shared" si="0"/>
        <v>B1615</v>
      </c>
      <c r="E32" t="s">
        <v>125</v>
      </c>
    </row>
    <row r="33" spans="1:5" x14ac:dyDescent="0.25">
      <c r="A33" t="s">
        <v>209</v>
      </c>
      <c r="B33" t="s">
        <v>127</v>
      </c>
      <c r="C33">
        <v>16</v>
      </c>
      <c r="D33" t="str">
        <f t="shared" si="0"/>
        <v>B1716</v>
      </c>
      <c r="E33" t="s">
        <v>126</v>
      </c>
    </row>
    <row r="34" spans="1:5" x14ac:dyDescent="0.25">
      <c r="A34" t="s">
        <v>210</v>
      </c>
      <c r="B34" t="s">
        <v>128</v>
      </c>
      <c r="C34">
        <v>17</v>
      </c>
      <c r="D34" t="str">
        <f t="shared" si="0"/>
        <v>B1817</v>
      </c>
      <c r="E34" t="s">
        <v>127</v>
      </c>
    </row>
    <row r="35" spans="1:5" x14ac:dyDescent="0.25">
      <c r="A35" t="s">
        <v>211</v>
      </c>
      <c r="B35" t="s">
        <v>129</v>
      </c>
      <c r="C35">
        <v>18</v>
      </c>
      <c r="D35" t="str">
        <f t="shared" si="0"/>
        <v>B1918</v>
      </c>
      <c r="E35" t="s">
        <v>128</v>
      </c>
    </row>
    <row r="36" spans="1:5" x14ac:dyDescent="0.25">
      <c r="A36" t="s">
        <v>212</v>
      </c>
      <c r="B36" t="s">
        <v>130</v>
      </c>
      <c r="C36">
        <v>19</v>
      </c>
      <c r="D36" t="str">
        <f t="shared" si="0"/>
        <v>B219</v>
      </c>
      <c r="E36" t="s">
        <v>129</v>
      </c>
    </row>
    <row r="37" spans="1:5" x14ac:dyDescent="0.25">
      <c r="A37" t="s">
        <v>213</v>
      </c>
      <c r="B37" t="s">
        <v>131</v>
      </c>
      <c r="C37">
        <v>2</v>
      </c>
      <c r="D37" t="str">
        <f t="shared" si="0"/>
        <v>B202</v>
      </c>
      <c r="E37" t="s">
        <v>130</v>
      </c>
    </row>
    <row r="38" spans="1:5" x14ac:dyDescent="0.25">
      <c r="A38" t="s">
        <v>214</v>
      </c>
      <c r="B38" t="s">
        <v>132</v>
      </c>
      <c r="C38">
        <v>20</v>
      </c>
      <c r="D38" t="str">
        <f t="shared" si="0"/>
        <v>B2120</v>
      </c>
      <c r="E38" t="s">
        <v>131</v>
      </c>
    </row>
    <row r="39" spans="1:5" x14ac:dyDescent="0.25">
      <c r="A39" t="s">
        <v>215</v>
      </c>
      <c r="B39" t="s">
        <v>133</v>
      </c>
      <c r="C39">
        <v>21</v>
      </c>
      <c r="D39" t="str">
        <f t="shared" si="0"/>
        <v>B2221</v>
      </c>
      <c r="E39" t="s">
        <v>132</v>
      </c>
    </row>
    <row r="40" spans="1:5" x14ac:dyDescent="0.25">
      <c r="A40" t="s">
        <v>216</v>
      </c>
      <c r="B40" t="s">
        <v>134</v>
      </c>
      <c r="C40">
        <v>22</v>
      </c>
      <c r="D40" t="str">
        <f t="shared" si="0"/>
        <v>B2322</v>
      </c>
      <c r="E40" t="s">
        <v>133</v>
      </c>
    </row>
    <row r="41" spans="1:5" x14ac:dyDescent="0.25">
      <c r="A41" t="s">
        <v>217</v>
      </c>
      <c r="B41" t="s">
        <v>135</v>
      </c>
      <c r="C41">
        <v>23</v>
      </c>
      <c r="D41" t="str">
        <f t="shared" si="0"/>
        <v>B2423</v>
      </c>
      <c r="E41" t="s">
        <v>134</v>
      </c>
    </row>
    <row r="42" spans="1:5" x14ac:dyDescent="0.25">
      <c r="A42" t="s">
        <v>218</v>
      </c>
      <c r="B42" t="s">
        <v>136</v>
      </c>
      <c r="C42">
        <v>24</v>
      </c>
      <c r="D42" t="str">
        <f t="shared" si="0"/>
        <v>B324</v>
      </c>
      <c r="E42" t="s">
        <v>135</v>
      </c>
    </row>
    <row r="43" spans="1:5" x14ac:dyDescent="0.25">
      <c r="A43" t="s">
        <v>219</v>
      </c>
      <c r="B43" t="s">
        <v>137</v>
      </c>
      <c r="C43">
        <v>3</v>
      </c>
      <c r="D43" t="str">
        <f t="shared" si="0"/>
        <v>B43</v>
      </c>
      <c r="E43" t="s">
        <v>136</v>
      </c>
    </row>
    <row r="44" spans="1:5" x14ac:dyDescent="0.25">
      <c r="A44" t="s">
        <v>220</v>
      </c>
      <c r="B44" t="s">
        <v>138</v>
      </c>
      <c r="C44">
        <v>4</v>
      </c>
      <c r="D44" t="str">
        <f t="shared" si="0"/>
        <v>B54</v>
      </c>
      <c r="E44" t="s">
        <v>137</v>
      </c>
    </row>
    <row r="45" spans="1:5" x14ac:dyDescent="0.25">
      <c r="A45" t="s">
        <v>221</v>
      </c>
      <c r="B45" t="s">
        <v>139</v>
      </c>
      <c r="C45">
        <v>5</v>
      </c>
      <c r="D45" t="str">
        <f t="shared" si="0"/>
        <v>B65</v>
      </c>
      <c r="E45" t="s">
        <v>138</v>
      </c>
    </row>
    <row r="46" spans="1:5" x14ac:dyDescent="0.25">
      <c r="A46" t="s">
        <v>222</v>
      </c>
      <c r="B46" t="s">
        <v>140</v>
      </c>
      <c r="C46">
        <v>6</v>
      </c>
      <c r="D46" t="str">
        <f t="shared" si="0"/>
        <v>B76</v>
      </c>
      <c r="E46" t="s">
        <v>139</v>
      </c>
    </row>
    <row r="47" spans="1:5" x14ac:dyDescent="0.25">
      <c r="A47" t="s">
        <v>223</v>
      </c>
      <c r="B47" t="s">
        <v>141</v>
      </c>
      <c r="C47">
        <v>7</v>
      </c>
      <c r="D47" t="str">
        <f t="shared" si="0"/>
        <v>B97</v>
      </c>
      <c r="E47" t="s">
        <v>140</v>
      </c>
    </row>
    <row r="48" spans="1:5" x14ac:dyDescent="0.25">
      <c r="A48" t="s">
        <v>224</v>
      </c>
      <c r="B48" t="s">
        <v>142</v>
      </c>
      <c r="C48">
        <v>9</v>
      </c>
      <c r="D48" t="str">
        <f t="shared" si="0"/>
        <v>H19</v>
      </c>
      <c r="E48" t="s">
        <v>141</v>
      </c>
    </row>
    <row r="49" spans="1:5" x14ac:dyDescent="0.25">
      <c r="A49" t="s">
        <v>225</v>
      </c>
      <c r="B49" t="s">
        <v>143</v>
      </c>
      <c r="C49">
        <v>1</v>
      </c>
      <c r="D49" t="str">
        <f t="shared" si="0"/>
        <v>H101</v>
      </c>
      <c r="E49" t="s">
        <v>142</v>
      </c>
    </row>
    <row r="50" spans="1:5" x14ac:dyDescent="0.25">
      <c r="A50" t="s">
        <v>226</v>
      </c>
      <c r="B50" t="s">
        <v>144</v>
      </c>
      <c r="C50">
        <v>10</v>
      </c>
      <c r="D50" t="str">
        <f t="shared" si="0"/>
        <v>H1110</v>
      </c>
      <c r="E50" t="s">
        <v>143</v>
      </c>
    </row>
    <row r="51" spans="1:5" x14ac:dyDescent="0.25">
      <c r="A51" t="s">
        <v>227</v>
      </c>
      <c r="B51" t="s">
        <v>145</v>
      </c>
      <c r="C51">
        <v>11</v>
      </c>
      <c r="D51" t="str">
        <f t="shared" si="0"/>
        <v>H1211</v>
      </c>
      <c r="E51" t="s">
        <v>144</v>
      </c>
    </row>
    <row r="52" spans="1:5" x14ac:dyDescent="0.25">
      <c r="A52" t="s">
        <v>228</v>
      </c>
      <c r="B52" t="s">
        <v>146</v>
      </c>
      <c r="C52">
        <v>12</v>
      </c>
      <c r="D52" t="str">
        <f t="shared" si="0"/>
        <v>H1312</v>
      </c>
      <c r="E52" t="s">
        <v>145</v>
      </c>
    </row>
    <row r="53" spans="1:5" x14ac:dyDescent="0.25">
      <c r="A53" t="s">
        <v>229</v>
      </c>
      <c r="B53" t="s">
        <v>147</v>
      </c>
      <c r="C53">
        <v>13</v>
      </c>
      <c r="D53" t="str">
        <f t="shared" si="0"/>
        <v>H1413</v>
      </c>
      <c r="E53" t="s">
        <v>146</v>
      </c>
    </row>
    <row r="54" spans="1:5" x14ac:dyDescent="0.25">
      <c r="A54" t="s">
        <v>230</v>
      </c>
      <c r="B54" t="s">
        <v>148</v>
      </c>
      <c r="C54">
        <v>14</v>
      </c>
      <c r="D54" t="str">
        <f t="shared" si="0"/>
        <v>H1514</v>
      </c>
      <c r="E54" t="s">
        <v>147</v>
      </c>
    </row>
    <row r="55" spans="1:5" x14ac:dyDescent="0.25">
      <c r="A55" t="s">
        <v>231</v>
      </c>
      <c r="B55" t="s">
        <v>149</v>
      </c>
      <c r="C55">
        <v>15</v>
      </c>
      <c r="D55" t="str">
        <f t="shared" si="0"/>
        <v>H1615</v>
      </c>
      <c r="E55" t="s">
        <v>148</v>
      </c>
    </row>
    <row r="56" spans="1:5" x14ac:dyDescent="0.25">
      <c r="A56" t="s">
        <v>232</v>
      </c>
      <c r="B56" t="s">
        <v>150</v>
      </c>
      <c r="C56">
        <v>16</v>
      </c>
      <c r="D56" t="str">
        <f t="shared" si="0"/>
        <v>H1716</v>
      </c>
      <c r="E56" t="s">
        <v>149</v>
      </c>
    </row>
    <row r="57" spans="1:5" x14ac:dyDescent="0.25">
      <c r="A57" t="s">
        <v>233</v>
      </c>
      <c r="B57" t="s">
        <v>151</v>
      </c>
      <c r="C57">
        <v>17</v>
      </c>
      <c r="D57" t="str">
        <f t="shared" si="0"/>
        <v>H1817</v>
      </c>
      <c r="E57" t="s">
        <v>150</v>
      </c>
    </row>
    <row r="58" spans="1:5" x14ac:dyDescent="0.25">
      <c r="A58" t="s">
        <v>234</v>
      </c>
      <c r="B58" t="s">
        <v>152</v>
      </c>
      <c r="C58">
        <v>18</v>
      </c>
      <c r="D58" t="str">
        <f t="shared" si="0"/>
        <v>H1918</v>
      </c>
      <c r="E58" t="s">
        <v>151</v>
      </c>
    </row>
    <row r="59" spans="1:5" x14ac:dyDescent="0.25">
      <c r="A59" t="s">
        <v>235</v>
      </c>
      <c r="B59" t="s">
        <v>153</v>
      </c>
      <c r="C59">
        <v>19</v>
      </c>
      <c r="D59" t="str">
        <f t="shared" si="0"/>
        <v>H219</v>
      </c>
      <c r="E59" t="s">
        <v>152</v>
      </c>
    </row>
    <row r="60" spans="1:5" x14ac:dyDescent="0.25">
      <c r="A60" t="s">
        <v>236</v>
      </c>
      <c r="B60" t="s">
        <v>154</v>
      </c>
      <c r="C60">
        <v>2</v>
      </c>
      <c r="D60" t="str">
        <f t="shared" si="0"/>
        <v>H202</v>
      </c>
      <c r="E60" t="s">
        <v>153</v>
      </c>
    </row>
    <row r="61" spans="1:5" x14ac:dyDescent="0.25">
      <c r="A61" t="s">
        <v>237</v>
      </c>
      <c r="B61" t="s">
        <v>155</v>
      </c>
      <c r="C61">
        <v>20</v>
      </c>
      <c r="D61" t="str">
        <f t="shared" si="0"/>
        <v>H2120</v>
      </c>
      <c r="E61" t="s">
        <v>154</v>
      </c>
    </row>
    <row r="62" spans="1:5" x14ac:dyDescent="0.25">
      <c r="A62" t="s">
        <v>238</v>
      </c>
      <c r="B62" t="s">
        <v>156</v>
      </c>
      <c r="C62">
        <v>21</v>
      </c>
      <c r="D62" t="str">
        <f t="shared" si="0"/>
        <v>H2221</v>
      </c>
      <c r="E62" t="s">
        <v>155</v>
      </c>
    </row>
    <row r="63" spans="1:5" x14ac:dyDescent="0.25">
      <c r="A63" t="s">
        <v>239</v>
      </c>
      <c r="B63" t="s">
        <v>157</v>
      </c>
      <c r="C63">
        <v>22</v>
      </c>
      <c r="D63" t="str">
        <f t="shared" si="0"/>
        <v>H2322</v>
      </c>
      <c r="E63" t="s">
        <v>156</v>
      </c>
    </row>
    <row r="64" spans="1:5" x14ac:dyDescent="0.25">
      <c r="A64" t="s">
        <v>240</v>
      </c>
      <c r="B64" t="s">
        <v>158</v>
      </c>
      <c r="C64">
        <v>23</v>
      </c>
      <c r="D64" t="str">
        <f t="shared" si="0"/>
        <v>H2423</v>
      </c>
      <c r="E64" t="s">
        <v>157</v>
      </c>
    </row>
    <row r="65" spans="1:5" x14ac:dyDescent="0.25">
      <c r="A65" t="s">
        <v>241</v>
      </c>
      <c r="B65" t="s">
        <v>159</v>
      </c>
      <c r="C65">
        <v>24</v>
      </c>
      <c r="D65" t="str">
        <f t="shared" si="0"/>
        <v>H324</v>
      </c>
      <c r="E65" t="s">
        <v>158</v>
      </c>
    </row>
    <row r="66" spans="1:5" x14ac:dyDescent="0.25">
      <c r="A66" t="s">
        <v>242</v>
      </c>
      <c r="B66" t="s">
        <v>160</v>
      </c>
      <c r="C66">
        <v>3</v>
      </c>
      <c r="D66" t="str">
        <f t="shared" si="0"/>
        <v>H43</v>
      </c>
      <c r="E66" t="s">
        <v>159</v>
      </c>
    </row>
    <row r="67" spans="1:5" x14ac:dyDescent="0.25">
      <c r="A67" t="s">
        <v>243</v>
      </c>
      <c r="B67" t="s">
        <v>161</v>
      </c>
      <c r="C67">
        <v>4</v>
      </c>
      <c r="D67" t="str">
        <f t="shared" ref="D67:E96" si="1">CONCATENATE(B67,C67)</f>
        <v>H54</v>
      </c>
      <c r="E67" t="s">
        <v>160</v>
      </c>
    </row>
    <row r="68" spans="1:5" x14ac:dyDescent="0.25">
      <c r="A68" t="s">
        <v>244</v>
      </c>
      <c r="B68" t="s">
        <v>162</v>
      </c>
      <c r="C68">
        <v>5</v>
      </c>
      <c r="D68" t="str">
        <f t="shared" si="1"/>
        <v>H65</v>
      </c>
      <c r="E68" t="s">
        <v>161</v>
      </c>
    </row>
    <row r="69" spans="1:5" x14ac:dyDescent="0.25">
      <c r="A69" t="s">
        <v>245</v>
      </c>
      <c r="B69" t="s">
        <v>163</v>
      </c>
      <c r="C69">
        <v>6</v>
      </c>
      <c r="D69" t="str">
        <f t="shared" si="1"/>
        <v>H76</v>
      </c>
      <c r="E69" t="s">
        <v>162</v>
      </c>
    </row>
    <row r="70" spans="1:5" x14ac:dyDescent="0.25">
      <c r="A70" t="s">
        <v>246</v>
      </c>
      <c r="B70" t="s">
        <v>164</v>
      </c>
      <c r="C70">
        <v>7</v>
      </c>
      <c r="D70" t="str">
        <f t="shared" si="1"/>
        <v>H87</v>
      </c>
      <c r="E70" t="s">
        <v>163</v>
      </c>
    </row>
    <row r="71" spans="1:5" x14ac:dyDescent="0.25">
      <c r="A71" t="s">
        <v>247</v>
      </c>
      <c r="B71" t="s">
        <v>165</v>
      </c>
      <c r="C71">
        <v>8</v>
      </c>
      <c r="D71" t="str">
        <f t="shared" si="1"/>
        <v>H98</v>
      </c>
      <c r="E71" t="s">
        <v>164</v>
      </c>
    </row>
    <row r="72" spans="1:5" x14ac:dyDescent="0.25">
      <c r="A72" t="s">
        <v>248</v>
      </c>
      <c r="B72" t="s">
        <v>166</v>
      </c>
      <c r="C72">
        <v>9</v>
      </c>
      <c r="D72" t="str">
        <f t="shared" si="1"/>
        <v>P19</v>
      </c>
      <c r="E72" t="s">
        <v>165</v>
      </c>
    </row>
    <row r="73" spans="1:5" x14ac:dyDescent="0.25">
      <c r="A73" t="s">
        <v>249</v>
      </c>
      <c r="B73" t="s">
        <v>167</v>
      </c>
      <c r="C73">
        <v>1</v>
      </c>
      <c r="D73" t="str">
        <f t="shared" si="1"/>
        <v>P101</v>
      </c>
      <c r="E73" t="s">
        <v>166</v>
      </c>
    </row>
    <row r="74" spans="1:5" x14ac:dyDescent="0.25">
      <c r="A74" t="s">
        <v>250</v>
      </c>
      <c r="B74" t="s">
        <v>168</v>
      </c>
      <c r="C74">
        <v>10</v>
      </c>
      <c r="D74" t="str">
        <f t="shared" si="1"/>
        <v>P1110</v>
      </c>
      <c r="E74" t="s">
        <v>167</v>
      </c>
    </row>
    <row r="75" spans="1:5" x14ac:dyDescent="0.25">
      <c r="A75" t="s">
        <v>251</v>
      </c>
      <c r="B75" t="s">
        <v>169</v>
      </c>
      <c r="C75">
        <v>11</v>
      </c>
      <c r="D75" t="str">
        <f t="shared" si="1"/>
        <v>P1211</v>
      </c>
      <c r="E75" t="s">
        <v>168</v>
      </c>
    </row>
    <row r="76" spans="1:5" x14ac:dyDescent="0.25">
      <c r="A76" t="s">
        <v>252</v>
      </c>
      <c r="B76" t="s">
        <v>170</v>
      </c>
      <c r="C76">
        <v>12</v>
      </c>
      <c r="D76" t="str">
        <f t="shared" si="1"/>
        <v>P1312</v>
      </c>
      <c r="E76" t="s">
        <v>169</v>
      </c>
    </row>
    <row r="77" spans="1:5" x14ac:dyDescent="0.25">
      <c r="A77" t="s">
        <v>253</v>
      </c>
      <c r="B77" t="s">
        <v>171</v>
      </c>
      <c r="C77">
        <v>13</v>
      </c>
      <c r="D77" t="str">
        <f t="shared" si="1"/>
        <v>P1413</v>
      </c>
      <c r="E77" t="s">
        <v>170</v>
      </c>
    </row>
    <row r="78" spans="1:5" x14ac:dyDescent="0.25">
      <c r="A78" t="s">
        <v>254</v>
      </c>
      <c r="B78" t="s">
        <v>172</v>
      </c>
      <c r="C78">
        <v>14</v>
      </c>
      <c r="D78" t="str">
        <f t="shared" si="1"/>
        <v>P1514</v>
      </c>
      <c r="E78" t="s">
        <v>171</v>
      </c>
    </row>
    <row r="79" spans="1:5" x14ac:dyDescent="0.25">
      <c r="A79" t="s">
        <v>255</v>
      </c>
      <c r="B79" t="s">
        <v>173</v>
      </c>
      <c r="C79">
        <v>15</v>
      </c>
      <c r="D79" t="str">
        <f t="shared" si="1"/>
        <v>P1615</v>
      </c>
      <c r="E79" t="s">
        <v>172</v>
      </c>
    </row>
    <row r="80" spans="1:5" x14ac:dyDescent="0.25">
      <c r="A80" t="s">
        <v>256</v>
      </c>
      <c r="B80" t="s">
        <v>174</v>
      </c>
      <c r="C80">
        <v>16</v>
      </c>
      <c r="D80" t="str">
        <f t="shared" si="1"/>
        <v>P1716</v>
      </c>
      <c r="E80" t="s">
        <v>173</v>
      </c>
    </row>
    <row r="81" spans="1:5" x14ac:dyDescent="0.25">
      <c r="A81" t="s">
        <v>257</v>
      </c>
      <c r="B81" t="s">
        <v>175</v>
      </c>
      <c r="C81">
        <v>17</v>
      </c>
      <c r="D81" t="str">
        <f t="shared" si="1"/>
        <v>P1817</v>
      </c>
      <c r="E81" t="s">
        <v>174</v>
      </c>
    </row>
    <row r="82" spans="1:5" x14ac:dyDescent="0.25">
      <c r="A82" t="s">
        <v>258</v>
      </c>
      <c r="B82" t="s">
        <v>176</v>
      </c>
      <c r="C82">
        <v>18</v>
      </c>
      <c r="D82" t="str">
        <f t="shared" si="1"/>
        <v>P1918</v>
      </c>
      <c r="E82" t="s">
        <v>175</v>
      </c>
    </row>
    <row r="83" spans="1:5" x14ac:dyDescent="0.25">
      <c r="A83" t="s">
        <v>259</v>
      </c>
      <c r="B83" t="s">
        <v>177</v>
      </c>
      <c r="C83">
        <v>19</v>
      </c>
      <c r="D83" t="str">
        <f t="shared" si="1"/>
        <v>P219</v>
      </c>
      <c r="E83" t="s">
        <v>176</v>
      </c>
    </row>
    <row r="84" spans="1:5" x14ac:dyDescent="0.25">
      <c r="A84" t="s">
        <v>260</v>
      </c>
      <c r="B84" t="s">
        <v>178</v>
      </c>
      <c r="C84">
        <v>2</v>
      </c>
      <c r="D84" t="str">
        <f t="shared" si="1"/>
        <v>P202</v>
      </c>
      <c r="E84" t="s">
        <v>177</v>
      </c>
    </row>
    <row r="85" spans="1:5" x14ac:dyDescent="0.25">
      <c r="A85" t="s">
        <v>142</v>
      </c>
      <c r="B85" t="s">
        <v>179</v>
      </c>
      <c r="C85">
        <v>20</v>
      </c>
      <c r="D85" t="str">
        <f t="shared" si="1"/>
        <v>P2120</v>
      </c>
      <c r="E85" t="s">
        <v>178</v>
      </c>
    </row>
    <row r="86" spans="1:5" x14ac:dyDescent="0.25">
      <c r="A86" t="s">
        <v>153</v>
      </c>
      <c r="B86" t="s">
        <v>180</v>
      </c>
      <c r="C86">
        <v>21</v>
      </c>
      <c r="D86" t="str">
        <f t="shared" si="1"/>
        <v>P2221</v>
      </c>
      <c r="E86" t="s">
        <v>179</v>
      </c>
    </row>
    <row r="87" spans="1:5" x14ac:dyDescent="0.25">
      <c r="A87" t="s">
        <v>159</v>
      </c>
      <c r="B87" t="s">
        <v>181</v>
      </c>
      <c r="C87">
        <v>22</v>
      </c>
      <c r="D87" t="str">
        <f t="shared" si="1"/>
        <v>P2322</v>
      </c>
      <c r="E87" t="s">
        <v>180</v>
      </c>
    </row>
    <row r="88" spans="1:5" x14ac:dyDescent="0.25">
      <c r="A88" t="s">
        <v>160</v>
      </c>
      <c r="B88" t="s">
        <v>182</v>
      </c>
      <c r="C88">
        <v>23</v>
      </c>
      <c r="D88" t="str">
        <f t="shared" si="1"/>
        <v>P2423</v>
      </c>
      <c r="E88" t="s">
        <v>181</v>
      </c>
    </row>
    <row r="89" spans="1:5" x14ac:dyDescent="0.25">
      <c r="A89" t="s">
        <v>161</v>
      </c>
      <c r="B89" t="s">
        <v>183</v>
      </c>
      <c r="C89">
        <v>24</v>
      </c>
      <c r="D89" t="str">
        <f t="shared" si="1"/>
        <v>P324</v>
      </c>
      <c r="E89" t="s">
        <v>182</v>
      </c>
    </row>
    <row r="90" spans="1:5" x14ac:dyDescent="0.25">
      <c r="A90" t="s">
        <v>162</v>
      </c>
      <c r="B90" t="s">
        <v>184</v>
      </c>
      <c r="C90">
        <v>3</v>
      </c>
      <c r="D90" t="str">
        <f t="shared" si="1"/>
        <v>P43</v>
      </c>
      <c r="E90" t="s">
        <v>183</v>
      </c>
    </row>
    <row r="91" spans="1:5" x14ac:dyDescent="0.25">
      <c r="A91" t="s">
        <v>163</v>
      </c>
      <c r="B91" t="s">
        <v>185</v>
      </c>
      <c r="C91">
        <v>4</v>
      </c>
      <c r="D91" t="str">
        <f t="shared" si="1"/>
        <v>P54</v>
      </c>
      <c r="E91" t="s">
        <v>184</v>
      </c>
    </row>
    <row r="92" spans="1:5" x14ac:dyDescent="0.25">
      <c r="A92" t="s">
        <v>164</v>
      </c>
      <c r="B92" t="s">
        <v>186</v>
      </c>
      <c r="C92">
        <v>5</v>
      </c>
      <c r="D92" t="str">
        <f t="shared" si="1"/>
        <v>P65</v>
      </c>
      <c r="E92" t="s">
        <v>185</v>
      </c>
    </row>
    <row r="93" spans="1:5" x14ac:dyDescent="0.25">
      <c r="A93" t="s">
        <v>165</v>
      </c>
      <c r="B93" t="s">
        <v>187</v>
      </c>
      <c r="C93">
        <v>6</v>
      </c>
      <c r="D93" t="str">
        <f t="shared" si="1"/>
        <v>P76</v>
      </c>
      <c r="E93" t="s">
        <v>186</v>
      </c>
    </row>
    <row r="94" spans="1:5" x14ac:dyDescent="0.25">
      <c r="A94" t="s">
        <v>143</v>
      </c>
      <c r="B94" t="s">
        <v>188</v>
      </c>
      <c r="C94">
        <v>7</v>
      </c>
      <c r="D94" t="str">
        <f t="shared" si="1"/>
        <v>P87</v>
      </c>
      <c r="E94" t="s">
        <v>187</v>
      </c>
    </row>
    <row r="95" spans="1:5" x14ac:dyDescent="0.25">
      <c r="A95" t="s">
        <v>144</v>
      </c>
      <c r="B95" t="s">
        <v>189</v>
      </c>
      <c r="C95">
        <v>8</v>
      </c>
      <c r="D95" t="str">
        <f t="shared" si="1"/>
        <v>P98</v>
      </c>
      <c r="E95" t="s">
        <v>188</v>
      </c>
    </row>
    <row r="96" spans="1:5" x14ac:dyDescent="0.25">
      <c r="A96" t="s">
        <v>145</v>
      </c>
      <c r="B96" t="s">
        <v>190</v>
      </c>
      <c r="C96">
        <v>9</v>
      </c>
      <c r="D96" t="str">
        <f t="shared" si="1"/>
        <v>P9</v>
      </c>
      <c r="E96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953A-495C-4AC0-8A15-362BD63959AE}">
  <dimension ref="B1:L193"/>
  <sheetViews>
    <sheetView topLeftCell="A66" workbookViewId="0">
      <selection activeCell="K77" sqref="K77"/>
    </sheetView>
  </sheetViews>
  <sheetFormatPr defaultRowHeight="15" x14ac:dyDescent="0.25"/>
  <sheetData>
    <row r="1" spans="2:12" ht="75" x14ac:dyDescent="0.25">
      <c r="B1" s="7" t="s">
        <v>261</v>
      </c>
      <c r="C1" s="7" t="s">
        <v>262</v>
      </c>
      <c r="D1" s="7" t="s">
        <v>263</v>
      </c>
      <c r="E1" s="8" t="s">
        <v>264</v>
      </c>
      <c r="F1" s="9" t="s">
        <v>265</v>
      </c>
      <c r="G1" s="8" t="s">
        <v>266</v>
      </c>
      <c r="H1" s="6" t="s">
        <v>267</v>
      </c>
      <c r="I1" s="6" t="s">
        <v>268</v>
      </c>
      <c r="J1" s="6" t="s">
        <v>269</v>
      </c>
      <c r="K1" s="6" t="s">
        <v>270</v>
      </c>
      <c r="L1" s="3"/>
    </row>
    <row r="2" spans="2:12" x14ac:dyDescent="0.25">
      <c r="B2" s="63" t="s">
        <v>287</v>
      </c>
      <c r="C2" s="71" t="s">
        <v>278</v>
      </c>
      <c r="D2" s="4">
        <v>33</v>
      </c>
      <c r="E2" s="4">
        <v>4</v>
      </c>
      <c r="F2" s="4">
        <v>28.45</v>
      </c>
      <c r="G2" s="4">
        <v>30</v>
      </c>
      <c r="H2" s="5">
        <v>4.2179261862917397</v>
      </c>
      <c r="I2" s="4">
        <v>132</v>
      </c>
      <c r="J2" s="67" t="s">
        <v>271</v>
      </c>
      <c r="K2" s="70"/>
      <c r="L2" s="70"/>
    </row>
    <row r="3" spans="2:12" x14ac:dyDescent="0.25">
      <c r="B3" s="63" t="s">
        <v>287</v>
      </c>
      <c r="C3" s="71" t="s">
        <v>278</v>
      </c>
      <c r="D3" s="63">
        <v>33</v>
      </c>
      <c r="E3" s="63">
        <v>4</v>
      </c>
      <c r="F3" s="63">
        <v>28.45</v>
      </c>
      <c r="G3" s="63">
        <v>26</v>
      </c>
      <c r="H3" s="64">
        <v>3.6555360281195077</v>
      </c>
      <c r="I3" s="63">
        <v>132</v>
      </c>
      <c r="J3" s="67" t="s">
        <v>271</v>
      </c>
      <c r="K3" s="70"/>
      <c r="L3" s="61"/>
    </row>
    <row r="4" spans="2:12" x14ac:dyDescent="0.25">
      <c r="B4" s="63" t="s">
        <v>86</v>
      </c>
      <c r="C4" s="71" t="s">
        <v>327</v>
      </c>
      <c r="D4" s="63">
        <v>33</v>
      </c>
      <c r="E4" s="63">
        <v>4</v>
      </c>
      <c r="F4" s="72">
        <v>45.333333333333336</v>
      </c>
      <c r="G4" s="63">
        <v>28</v>
      </c>
      <c r="H4" s="64">
        <v>2.4705882352941178</v>
      </c>
      <c r="I4" s="63">
        <v>132</v>
      </c>
      <c r="J4" s="67" t="s">
        <v>277</v>
      </c>
      <c r="K4" s="70"/>
      <c r="L4" s="61"/>
    </row>
    <row r="5" spans="2:12" x14ac:dyDescent="0.25">
      <c r="B5" s="63" t="s">
        <v>86</v>
      </c>
      <c r="C5" s="71" t="s">
        <v>327</v>
      </c>
      <c r="D5" s="63">
        <v>33</v>
      </c>
      <c r="E5" s="63">
        <v>4</v>
      </c>
      <c r="F5" s="72">
        <v>45.333333333333336</v>
      </c>
      <c r="G5" s="63">
        <v>30</v>
      </c>
      <c r="H5" s="64">
        <v>2.6470588235294117</v>
      </c>
      <c r="I5" s="63">
        <v>132</v>
      </c>
      <c r="J5" s="67" t="s">
        <v>277</v>
      </c>
      <c r="K5" s="70"/>
      <c r="L5" s="70"/>
    </row>
    <row r="6" spans="2:12" x14ac:dyDescent="0.25">
      <c r="B6" s="63" t="s">
        <v>94</v>
      </c>
      <c r="C6" s="71" t="s">
        <v>103</v>
      </c>
      <c r="D6" s="4">
        <v>33</v>
      </c>
      <c r="E6" s="4">
        <v>4</v>
      </c>
      <c r="F6" s="72">
        <v>50</v>
      </c>
      <c r="G6" s="4">
        <v>28</v>
      </c>
      <c r="H6" s="5">
        <v>2.2400000000000002</v>
      </c>
      <c r="I6" s="4">
        <v>132</v>
      </c>
      <c r="J6" s="12" t="s">
        <v>277</v>
      </c>
      <c r="K6" s="13"/>
      <c r="L6" s="61"/>
    </row>
    <row r="7" spans="2:12" x14ac:dyDescent="0.25">
      <c r="B7" s="63" t="s">
        <v>94</v>
      </c>
      <c r="C7" s="71" t="s">
        <v>103</v>
      </c>
      <c r="D7" s="4">
        <v>33</v>
      </c>
      <c r="E7" s="4">
        <v>4</v>
      </c>
      <c r="F7" s="72">
        <v>50</v>
      </c>
      <c r="G7" s="4">
        <v>30</v>
      </c>
      <c r="H7" s="5">
        <v>2.4</v>
      </c>
      <c r="I7" s="4">
        <v>132</v>
      </c>
      <c r="J7" s="12" t="s">
        <v>277</v>
      </c>
      <c r="K7" s="13"/>
      <c r="L7" s="13"/>
    </row>
    <row r="8" spans="2:12" x14ac:dyDescent="0.25">
      <c r="B8" s="63" t="s">
        <v>4</v>
      </c>
      <c r="C8" s="71" t="s">
        <v>328</v>
      </c>
      <c r="D8" s="4">
        <v>33</v>
      </c>
      <c r="E8" s="4">
        <v>4</v>
      </c>
      <c r="F8" s="72">
        <v>38.200000000000003</v>
      </c>
      <c r="G8" s="4">
        <v>28</v>
      </c>
      <c r="H8" s="5">
        <v>2.9319371727748686</v>
      </c>
      <c r="I8" s="4">
        <v>132</v>
      </c>
      <c r="J8" s="12" t="s">
        <v>289</v>
      </c>
      <c r="K8" s="13"/>
      <c r="L8" s="61"/>
    </row>
    <row r="9" spans="2:12" x14ac:dyDescent="0.25">
      <c r="B9" s="63" t="s">
        <v>4</v>
      </c>
      <c r="C9" s="71" t="s">
        <v>328</v>
      </c>
      <c r="D9" s="4">
        <v>33</v>
      </c>
      <c r="E9" s="4">
        <v>4</v>
      </c>
      <c r="F9" s="72">
        <v>38.200000000000003</v>
      </c>
      <c r="G9" s="4">
        <v>30</v>
      </c>
      <c r="H9" s="5">
        <v>3.1413612565445024</v>
      </c>
      <c r="I9" s="4">
        <v>132</v>
      </c>
      <c r="J9" s="12" t="s">
        <v>289</v>
      </c>
      <c r="K9" s="13"/>
      <c r="L9" s="13"/>
    </row>
    <row r="10" spans="2:12" x14ac:dyDescent="0.25">
      <c r="B10" s="10" t="s">
        <v>29</v>
      </c>
      <c r="C10" s="11" t="s">
        <v>275</v>
      </c>
      <c r="D10" s="4">
        <v>33</v>
      </c>
      <c r="E10" s="4">
        <v>4</v>
      </c>
      <c r="F10" s="4">
        <v>32.799999999999997</v>
      </c>
      <c r="G10" s="4">
        <v>30</v>
      </c>
      <c r="H10" s="5">
        <v>3.6585365853658542</v>
      </c>
      <c r="I10" s="4">
        <v>132</v>
      </c>
      <c r="J10" s="12" t="s">
        <v>271</v>
      </c>
      <c r="K10" s="13"/>
      <c r="L10" s="13"/>
    </row>
    <row r="11" spans="2:12" x14ac:dyDescent="0.25">
      <c r="B11" s="65" t="s">
        <v>29</v>
      </c>
      <c r="C11" s="66" t="s">
        <v>275</v>
      </c>
      <c r="D11" s="63">
        <v>33</v>
      </c>
      <c r="E11" s="63">
        <v>4</v>
      </c>
      <c r="F11" s="63">
        <v>32.799999999999997</v>
      </c>
      <c r="G11" s="63">
        <v>30</v>
      </c>
      <c r="H11" s="64">
        <v>3.6585365853658542</v>
      </c>
      <c r="I11" s="63">
        <v>132</v>
      </c>
      <c r="J11" s="67" t="s">
        <v>271</v>
      </c>
      <c r="K11" s="70"/>
      <c r="L11" s="70"/>
    </row>
    <row r="12" spans="2:12" x14ac:dyDescent="0.25">
      <c r="B12" s="65" t="s">
        <v>67</v>
      </c>
      <c r="C12" s="66" t="s">
        <v>276</v>
      </c>
      <c r="D12" s="63">
        <v>33</v>
      </c>
      <c r="E12" s="63">
        <v>4</v>
      </c>
      <c r="F12" s="64">
        <v>26.633333333333336</v>
      </c>
      <c r="G12" s="63">
        <v>30</v>
      </c>
      <c r="H12" s="64">
        <v>4.5056320400500622</v>
      </c>
      <c r="I12" s="63">
        <v>132</v>
      </c>
      <c r="J12" s="67" t="s">
        <v>277</v>
      </c>
      <c r="K12" s="70"/>
      <c r="L12" s="70"/>
    </row>
    <row r="13" spans="2:12" x14ac:dyDescent="0.25">
      <c r="B13" s="65" t="s">
        <v>67</v>
      </c>
      <c r="C13" s="66" t="s">
        <v>276</v>
      </c>
      <c r="D13" s="63">
        <v>33</v>
      </c>
      <c r="E13" s="63">
        <v>4</v>
      </c>
      <c r="F13" s="64">
        <v>26.633333333333336</v>
      </c>
      <c r="G13" s="63">
        <v>30</v>
      </c>
      <c r="H13" s="64">
        <v>4.5056320400500622</v>
      </c>
      <c r="I13" s="63">
        <v>132</v>
      </c>
      <c r="J13" s="67" t="s">
        <v>277</v>
      </c>
      <c r="K13" s="70"/>
      <c r="L13" s="70"/>
    </row>
    <row r="14" spans="2:12" x14ac:dyDescent="0.25">
      <c r="B14" s="65" t="s">
        <v>40</v>
      </c>
      <c r="C14" s="66" t="s">
        <v>278</v>
      </c>
      <c r="D14" s="63">
        <v>33</v>
      </c>
      <c r="E14" s="63">
        <v>4</v>
      </c>
      <c r="F14" s="63">
        <v>32.4</v>
      </c>
      <c r="G14" s="63">
        <v>30</v>
      </c>
      <c r="H14" s="64">
        <v>3.7037037037037037</v>
      </c>
      <c r="I14" s="63">
        <v>132</v>
      </c>
      <c r="J14" s="67" t="s">
        <v>277</v>
      </c>
      <c r="K14" s="70"/>
      <c r="L14" s="70"/>
    </row>
    <row r="15" spans="2:12" x14ac:dyDescent="0.25">
      <c r="B15" s="65" t="s">
        <v>40</v>
      </c>
      <c r="C15" s="66" t="s">
        <v>278</v>
      </c>
      <c r="D15" s="63">
        <v>33</v>
      </c>
      <c r="E15" s="63">
        <v>4</v>
      </c>
      <c r="F15" s="63">
        <v>32.4</v>
      </c>
      <c r="G15" s="63">
        <v>30</v>
      </c>
      <c r="H15" s="64">
        <v>3.7037037037037037</v>
      </c>
      <c r="I15" s="63">
        <v>132</v>
      </c>
      <c r="J15" s="67" t="s">
        <v>277</v>
      </c>
      <c r="K15" s="70"/>
      <c r="L15" s="70"/>
    </row>
    <row r="16" spans="2:12" x14ac:dyDescent="0.25">
      <c r="B16" s="65" t="s">
        <v>59</v>
      </c>
      <c r="C16" s="66" t="s">
        <v>279</v>
      </c>
      <c r="D16" s="63">
        <v>33</v>
      </c>
      <c r="E16" s="63">
        <v>4</v>
      </c>
      <c r="F16" s="63">
        <v>26.55</v>
      </c>
      <c r="G16" s="63">
        <v>30</v>
      </c>
      <c r="H16" s="64">
        <v>4.5197740112994351</v>
      </c>
      <c r="I16" s="63">
        <v>132</v>
      </c>
      <c r="J16" s="67" t="s">
        <v>271</v>
      </c>
      <c r="K16" s="70"/>
      <c r="L16" s="70"/>
    </row>
    <row r="17" spans="2:12" x14ac:dyDescent="0.25">
      <c r="B17" s="65" t="s">
        <v>59</v>
      </c>
      <c r="C17" s="66" t="s">
        <v>279</v>
      </c>
      <c r="D17" s="63">
        <v>33</v>
      </c>
      <c r="E17" s="63">
        <v>4</v>
      </c>
      <c r="F17" s="63">
        <v>26.55</v>
      </c>
      <c r="G17" s="63">
        <v>30</v>
      </c>
      <c r="H17" s="64">
        <v>4.5197740112994351</v>
      </c>
      <c r="I17" s="63">
        <v>132</v>
      </c>
      <c r="J17" s="67" t="s">
        <v>271</v>
      </c>
      <c r="K17" s="70"/>
      <c r="L17" s="70"/>
    </row>
    <row r="18" spans="2:12" x14ac:dyDescent="0.25">
      <c r="B18" s="58" t="s">
        <v>84</v>
      </c>
      <c r="C18" s="74" t="s">
        <v>297</v>
      </c>
      <c r="D18" s="58">
        <v>33</v>
      </c>
      <c r="E18" s="58">
        <v>4</v>
      </c>
      <c r="F18" s="69">
        <v>48</v>
      </c>
      <c r="G18" s="58">
        <v>26</v>
      </c>
      <c r="H18" s="60">
        <v>2.1666666666666665</v>
      </c>
      <c r="I18" s="58">
        <v>132</v>
      </c>
      <c r="J18" s="61"/>
      <c r="K18" s="61"/>
      <c r="L18" s="61"/>
    </row>
    <row r="19" spans="2:12" x14ac:dyDescent="0.25">
      <c r="B19" s="58" t="s">
        <v>84</v>
      </c>
      <c r="C19" s="74" t="s">
        <v>297</v>
      </c>
      <c r="D19" s="58">
        <v>33</v>
      </c>
      <c r="E19" s="58">
        <v>4</v>
      </c>
      <c r="F19" s="69">
        <v>48</v>
      </c>
      <c r="G19" s="58">
        <v>26</v>
      </c>
      <c r="H19" s="60">
        <v>2.1666666666666665</v>
      </c>
      <c r="I19" s="58">
        <v>132</v>
      </c>
      <c r="J19" s="61"/>
      <c r="K19" s="61"/>
      <c r="L19" s="61"/>
    </row>
    <row r="20" spans="2:12" x14ac:dyDescent="0.25">
      <c r="B20" s="4" t="s">
        <v>54</v>
      </c>
      <c r="C20" s="75" t="s">
        <v>298</v>
      </c>
      <c r="D20" s="4">
        <v>33</v>
      </c>
      <c r="E20" s="4">
        <v>4</v>
      </c>
      <c r="F20" s="63">
        <v>33.450000000000003</v>
      </c>
      <c r="G20" s="4">
        <v>26</v>
      </c>
      <c r="H20" s="5">
        <v>3.1091180866965615</v>
      </c>
      <c r="I20" s="4">
        <v>132</v>
      </c>
      <c r="J20" s="12" t="s">
        <v>271</v>
      </c>
      <c r="K20" s="13"/>
      <c r="L20" s="13"/>
    </row>
    <row r="21" spans="2:12" x14ac:dyDescent="0.25">
      <c r="B21" s="4" t="s">
        <v>54</v>
      </c>
      <c r="C21" s="75" t="s">
        <v>298</v>
      </c>
      <c r="D21" s="4">
        <v>33</v>
      </c>
      <c r="E21" s="4">
        <v>4</v>
      </c>
      <c r="F21" s="63">
        <v>33.450000000000003</v>
      </c>
      <c r="G21" s="4">
        <v>26</v>
      </c>
      <c r="H21" s="5">
        <v>3.1091180866965615</v>
      </c>
      <c r="I21" s="4">
        <v>132</v>
      </c>
      <c r="J21" s="12" t="s">
        <v>271</v>
      </c>
      <c r="K21" s="13"/>
      <c r="L21" s="61"/>
    </row>
    <row r="22" spans="2:12" x14ac:dyDescent="0.25">
      <c r="B22" s="4" t="s">
        <v>12</v>
      </c>
      <c r="C22" s="75" t="s">
        <v>299</v>
      </c>
      <c r="D22" s="4">
        <v>33</v>
      </c>
      <c r="E22" s="4">
        <v>4</v>
      </c>
      <c r="F22" s="4">
        <v>33.25</v>
      </c>
      <c r="G22" s="4">
        <v>26</v>
      </c>
      <c r="H22" s="5">
        <v>3.1278195488721803</v>
      </c>
      <c r="I22" s="4">
        <v>132</v>
      </c>
      <c r="J22" s="12" t="s">
        <v>271</v>
      </c>
      <c r="K22" s="13"/>
      <c r="L22" s="13"/>
    </row>
    <row r="23" spans="2:12" x14ac:dyDescent="0.25">
      <c r="B23" s="4" t="s">
        <v>12</v>
      </c>
      <c r="C23" s="75" t="s">
        <v>299</v>
      </c>
      <c r="D23" s="4">
        <v>33</v>
      </c>
      <c r="E23" s="4">
        <v>4</v>
      </c>
      <c r="F23" s="4">
        <v>33.25</v>
      </c>
      <c r="G23" s="4">
        <v>26</v>
      </c>
      <c r="H23" s="5">
        <v>3.1278195488721803</v>
      </c>
      <c r="I23" s="4">
        <v>132</v>
      </c>
      <c r="J23" s="12" t="s">
        <v>271</v>
      </c>
      <c r="K23" s="13"/>
      <c r="L23" s="61"/>
    </row>
    <row r="24" spans="2:12" x14ac:dyDescent="0.25">
      <c r="B24" s="4" t="s">
        <v>288</v>
      </c>
      <c r="C24" s="14" t="s">
        <v>279</v>
      </c>
      <c r="D24" s="4">
        <v>33</v>
      </c>
      <c r="E24" s="4">
        <v>4</v>
      </c>
      <c r="F24" s="4">
        <v>32</v>
      </c>
      <c r="G24" s="4">
        <v>30</v>
      </c>
      <c r="H24" s="5">
        <v>3.75</v>
      </c>
      <c r="I24" s="4">
        <v>132</v>
      </c>
      <c r="J24" s="12" t="s">
        <v>289</v>
      </c>
      <c r="K24" s="13"/>
      <c r="L24" s="13"/>
    </row>
    <row r="25" spans="2:12" x14ac:dyDescent="0.25">
      <c r="B25" s="4" t="s">
        <v>288</v>
      </c>
      <c r="C25" s="14" t="s">
        <v>279</v>
      </c>
      <c r="D25" s="4">
        <v>33</v>
      </c>
      <c r="E25" s="4">
        <v>4</v>
      </c>
      <c r="F25" s="63">
        <v>32</v>
      </c>
      <c r="G25" s="4">
        <v>26</v>
      </c>
      <c r="H25" s="5">
        <v>3.25</v>
      </c>
      <c r="I25" s="4">
        <v>132</v>
      </c>
      <c r="J25" s="12" t="s">
        <v>289</v>
      </c>
      <c r="K25" s="13"/>
      <c r="L25" s="61"/>
    </row>
    <row r="26" spans="2:12" x14ac:dyDescent="0.25">
      <c r="B26" s="4" t="s">
        <v>48</v>
      </c>
      <c r="C26" s="75" t="s">
        <v>300</v>
      </c>
      <c r="D26" s="4">
        <v>33</v>
      </c>
      <c r="E26" s="4">
        <v>4</v>
      </c>
      <c r="F26" s="63">
        <v>41.95</v>
      </c>
      <c r="G26" s="4">
        <v>26</v>
      </c>
      <c r="H26" s="5">
        <v>2.4791418355184742</v>
      </c>
      <c r="I26" s="4">
        <v>132</v>
      </c>
      <c r="J26" s="12" t="s">
        <v>271</v>
      </c>
      <c r="K26" s="13"/>
      <c r="L26" s="13"/>
    </row>
    <row r="27" spans="2:12" x14ac:dyDescent="0.25">
      <c r="B27" s="4" t="s">
        <v>48</v>
      </c>
      <c r="C27" s="75" t="s">
        <v>300</v>
      </c>
      <c r="D27" s="4">
        <v>33</v>
      </c>
      <c r="E27" s="4">
        <v>4</v>
      </c>
      <c r="F27" s="63">
        <v>41.95</v>
      </c>
      <c r="G27" s="4">
        <v>26</v>
      </c>
      <c r="H27" s="5">
        <v>2.4791418355184742</v>
      </c>
      <c r="I27" s="4">
        <v>132</v>
      </c>
      <c r="J27" s="12" t="s">
        <v>271</v>
      </c>
      <c r="K27" s="13"/>
      <c r="L27" s="61"/>
    </row>
    <row r="28" spans="2:12" x14ac:dyDescent="0.25">
      <c r="B28" s="62" t="s">
        <v>69</v>
      </c>
      <c r="C28" s="76" t="s">
        <v>278</v>
      </c>
      <c r="D28" s="58">
        <v>33</v>
      </c>
      <c r="E28" s="58">
        <v>4</v>
      </c>
      <c r="F28" s="69">
        <v>32.299999999999997</v>
      </c>
      <c r="G28" s="58">
        <v>28</v>
      </c>
      <c r="H28" s="60">
        <v>3.46749226006192</v>
      </c>
      <c r="I28" s="58">
        <v>132</v>
      </c>
      <c r="J28" s="61"/>
      <c r="K28" s="61"/>
      <c r="L28" s="61"/>
    </row>
    <row r="29" spans="2:12" x14ac:dyDescent="0.25">
      <c r="B29" s="62" t="s">
        <v>69</v>
      </c>
      <c r="C29" s="76" t="s">
        <v>278</v>
      </c>
      <c r="D29" s="58">
        <v>33</v>
      </c>
      <c r="E29" s="58">
        <v>4</v>
      </c>
      <c r="F29" s="69">
        <v>32.299999999999997</v>
      </c>
      <c r="G29" s="58">
        <v>26</v>
      </c>
      <c r="H29" s="60">
        <v>3.2198142414860684</v>
      </c>
      <c r="I29" s="58">
        <v>132</v>
      </c>
      <c r="J29" s="61"/>
      <c r="K29" s="61"/>
      <c r="L29" s="61"/>
    </row>
    <row r="30" spans="2:12" x14ac:dyDescent="0.25">
      <c r="B30" s="65" t="s">
        <v>93</v>
      </c>
      <c r="C30" s="77" t="s">
        <v>279</v>
      </c>
      <c r="D30" s="63">
        <v>33</v>
      </c>
      <c r="E30" s="63">
        <v>4</v>
      </c>
      <c r="F30" s="63">
        <v>30.35</v>
      </c>
      <c r="G30" s="63">
        <v>28</v>
      </c>
      <c r="H30" s="64">
        <v>3.6902800658978583</v>
      </c>
      <c r="I30" s="63">
        <v>132</v>
      </c>
      <c r="J30" s="67" t="s">
        <v>271</v>
      </c>
      <c r="K30" s="70"/>
      <c r="L30" s="61"/>
    </row>
    <row r="31" spans="2:12" x14ac:dyDescent="0.25">
      <c r="B31" s="65" t="s">
        <v>93</v>
      </c>
      <c r="C31" s="77" t="s">
        <v>279</v>
      </c>
      <c r="D31" s="63">
        <v>33</v>
      </c>
      <c r="E31" s="63">
        <v>4</v>
      </c>
      <c r="F31" s="63">
        <v>30.35</v>
      </c>
      <c r="G31" s="63">
        <v>26</v>
      </c>
      <c r="H31" s="64">
        <v>3.4266886326194395</v>
      </c>
      <c r="I31" s="63">
        <v>132</v>
      </c>
      <c r="J31" s="67" t="s">
        <v>271</v>
      </c>
      <c r="K31" s="70"/>
      <c r="L31" s="61"/>
    </row>
    <row r="32" spans="2:12" x14ac:dyDescent="0.25">
      <c r="B32" s="65" t="s">
        <v>28</v>
      </c>
      <c r="C32" s="77" t="s">
        <v>97</v>
      </c>
      <c r="D32" s="63">
        <v>33</v>
      </c>
      <c r="E32" s="63">
        <v>4</v>
      </c>
      <c r="F32" s="63">
        <v>30.45</v>
      </c>
      <c r="G32" s="63">
        <v>28</v>
      </c>
      <c r="H32" s="64">
        <v>3.6781609195402298</v>
      </c>
      <c r="I32" s="63">
        <v>132</v>
      </c>
      <c r="J32" s="67" t="s">
        <v>271</v>
      </c>
      <c r="K32" s="70"/>
      <c r="L32" s="61"/>
    </row>
    <row r="33" spans="2:12" x14ac:dyDescent="0.25">
      <c r="B33" s="65" t="s">
        <v>28</v>
      </c>
      <c r="C33" s="77" t="s">
        <v>97</v>
      </c>
      <c r="D33" s="63">
        <v>33</v>
      </c>
      <c r="E33" s="63">
        <v>4</v>
      </c>
      <c r="F33" s="63">
        <v>30.45</v>
      </c>
      <c r="G33" s="63">
        <v>26</v>
      </c>
      <c r="H33" s="64">
        <v>3.4154351395730704</v>
      </c>
      <c r="I33" s="63">
        <v>132</v>
      </c>
      <c r="J33" s="67" t="s">
        <v>271</v>
      </c>
      <c r="K33" s="70"/>
      <c r="L33" s="61"/>
    </row>
    <row r="34" spans="2:12" x14ac:dyDescent="0.25">
      <c r="B34" s="65" t="s">
        <v>33</v>
      </c>
      <c r="C34" s="77" t="s">
        <v>280</v>
      </c>
      <c r="D34" s="63">
        <v>33</v>
      </c>
      <c r="E34" s="63">
        <v>4</v>
      </c>
      <c r="F34" s="63">
        <v>40.299999999999997</v>
      </c>
      <c r="G34" s="63">
        <v>28</v>
      </c>
      <c r="H34" s="64">
        <v>2.7791563275434248</v>
      </c>
      <c r="I34" s="63">
        <v>132</v>
      </c>
      <c r="J34" s="67" t="s">
        <v>271</v>
      </c>
      <c r="K34" s="70"/>
      <c r="L34" s="61"/>
    </row>
    <row r="35" spans="2:12" x14ac:dyDescent="0.25">
      <c r="B35" s="65" t="s">
        <v>33</v>
      </c>
      <c r="C35" s="77" t="s">
        <v>280</v>
      </c>
      <c r="D35" s="63">
        <v>33</v>
      </c>
      <c r="E35" s="63">
        <v>4</v>
      </c>
      <c r="F35" s="63">
        <v>40.299999999999997</v>
      </c>
      <c r="G35" s="63">
        <v>26</v>
      </c>
      <c r="H35" s="64">
        <v>2.580645161290323</v>
      </c>
      <c r="I35" s="63">
        <v>132</v>
      </c>
      <c r="J35" s="67" t="s">
        <v>271</v>
      </c>
      <c r="K35" s="70"/>
      <c r="L35" s="61"/>
    </row>
    <row r="36" spans="2:12" x14ac:dyDescent="0.25">
      <c r="B36" s="63" t="s">
        <v>290</v>
      </c>
      <c r="C36" s="71" t="s">
        <v>280</v>
      </c>
      <c r="D36" s="63">
        <v>33</v>
      </c>
      <c r="E36" s="63">
        <v>4</v>
      </c>
      <c r="F36" s="63">
        <v>48.6</v>
      </c>
      <c r="G36" s="63">
        <v>30</v>
      </c>
      <c r="H36" s="64">
        <v>2.4691358024691357</v>
      </c>
      <c r="I36" s="63">
        <v>132</v>
      </c>
      <c r="J36" s="67" t="s">
        <v>289</v>
      </c>
      <c r="K36" s="70"/>
      <c r="L36" s="70"/>
    </row>
    <row r="37" spans="2:12" x14ac:dyDescent="0.25">
      <c r="B37" s="63" t="s">
        <v>290</v>
      </c>
      <c r="C37" s="71" t="s">
        <v>280</v>
      </c>
      <c r="D37" s="63">
        <v>33</v>
      </c>
      <c r="E37" s="63">
        <v>4</v>
      </c>
      <c r="F37" s="63">
        <v>48.6</v>
      </c>
      <c r="G37" s="63">
        <v>26</v>
      </c>
      <c r="H37" s="64">
        <v>2.1399176954732511</v>
      </c>
      <c r="I37" s="63">
        <v>132</v>
      </c>
      <c r="J37" s="67" t="s">
        <v>289</v>
      </c>
      <c r="K37" s="70"/>
      <c r="L37" s="61"/>
    </row>
    <row r="38" spans="2:12" x14ac:dyDescent="0.25">
      <c r="B38" s="63" t="s">
        <v>291</v>
      </c>
      <c r="C38" s="71" t="s">
        <v>281</v>
      </c>
      <c r="D38" s="63">
        <v>33</v>
      </c>
      <c r="E38" s="63">
        <v>4</v>
      </c>
      <c r="F38" s="72">
        <v>27.1</v>
      </c>
      <c r="G38" s="63">
        <v>30</v>
      </c>
      <c r="H38" s="64">
        <v>4.428044280442804</v>
      </c>
      <c r="I38" s="63">
        <v>132</v>
      </c>
      <c r="J38" s="67" t="s">
        <v>292</v>
      </c>
      <c r="K38" s="70"/>
      <c r="L38" s="70"/>
    </row>
    <row r="39" spans="2:12" x14ac:dyDescent="0.25">
      <c r="B39" s="18" t="s">
        <v>291</v>
      </c>
      <c r="C39" s="71" t="s">
        <v>281</v>
      </c>
      <c r="D39" s="18">
        <v>33</v>
      </c>
      <c r="E39" s="18">
        <v>4</v>
      </c>
      <c r="F39" s="72">
        <v>27.1</v>
      </c>
      <c r="G39" s="18">
        <v>26</v>
      </c>
      <c r="H39" s="19">
        <v>3.8376383763837634</v>
      </c>
      <c r="I39" s="18">
        <v>132</v>
      </c>
      <c r="J39" s="20" t="s">
        <v>292</v>
      </c>
      <c r="K39" s="21"/>
      <c r="L39" s="61"/>
    </row>
    <row r="40" spans="2:12" x14ac:dyDescent="0.25">
      <c r="B40" s="18" t="s">
        <v>308</v>
      </c>
      <c r="C40" s="71" t="s">
        <v>100</v>
      </c>
      <c r="D40" s="18">
        <v>33</v>
      </c>
      <c r="E40" s="18">
        <v>4</v>
      </c>
      <c r="F40" s="72">
        <v>37.333333333333336</v>
      </c>
      <c r="G40" s="18">
        <v>26</v>
      </c>
      <c r="H40" s="19">
        <v>2.7857142857142856</v>
      </c>
      <c r="I40" s="18">
        <v>132</v>
      </c>
      <c r="J40" s="20" t="s">
        <v>277</v>
      </c>
      <c r="K40" s="21"/>
      <c r="L40" s="21"/>
    </row>
    <row r="41" spans="2:12" x14ac:dyDescent="0.25">
      <c r="B41" s="18" t="s">
        <v>308</v>
      </c>
      <c r="C41" s="71" t="s">
        <v>100</v>
      </c>
      <c r="D41" s="18">
        <v>33</v>
      </c>
      <c r="E41" s="18">
        <v>4</v>
      </c>
      <c r="F41" s="72">
        <v>37.333333333333336</v>
      </c>
      <c r="G41" s="18">
        <v>26</v>
      </c>
      <c r="H41" s="19">
        <v>2.7857142857142856</v>
      </c>
      <c r="I41" s="18">
        <v>132</v>
      </c>
      <c r="J41" s="20" t="s">
        <v>277</v>
      </c>
      <c r="K41" s="21"/>
      <c r="L41" s="61"/>
    </row>
    <row r="42" spans="2:12" x14ac:dyDescent="0.25">
      <c r="B42" s="63" t="s">
        <v>309</v>
      </c>
      <c r="C42" s="71" t="s">
        <v>310</v>
      </c>
      <c r="D42" s="63">
        <v>33</v>
      </c>
      <c r="E42" s="63">
        <v>4</v>
      </c>
      <c r="F42" s="63">
        <v>33.4</v>
      </c>
      <c r="G42" s="63">
        <v>26</v>
      </c>
      <c r="H42" s="64">
        <v>3.11377245508982</v>
      </c>
      <c r="I42" s="63">
        <v>132</v>
      </c>
      <c r="J42" s="67" t="s">
        <v>289</v>
      </c>
      <c r="K42" s="70"/>
      <c r="L42" s="70"/>
    </row>
    <row r="43" spans="2:12" x14ac:dyDescent="0.25">
      <c r="B43" s="18" t="s">
        <v>309</v>
      </c>
      <c r="C43" s="71" t="s">
        <v>310</v>
      </c>
      <c r="D43" s="18">
        <v>33</v>
      </c>
      <c r="E43" s="18">
        <v>4</v>
      </c>
      <c r="F43" s="18">
        <v>33.4</v>
      </c>
      <c r="G43" s="18">
        <v>26</v>
      </c>
      <c r="H43" s="19">
        <v>3.11377245508982</v>
      </c>
      <c r="I43" s="18">
        <v>132</v>
      </c>
      <c r="J43" s="20" t="s">
        <v>289</v>
      </c>
      <c r="K43" s="21"/>
      <c r="L43" s="61"/>
    </row>
    <row r="44" spans="2:12" x14ac:dyDescent="0.25">
      <c r="B44" s="63" t="s">
        <v>311</v>
      </c>
      <c r="C44" s="71" t="s">
        <v>312</v>
      </c>
      <c r="D44" s="63">
        <v>33</v>
      </c>
      <c r="E44" s="63">
        <v>4</v>
      </c>
      <c r="F44" s="63">
        <v>38.200000000000003</v>
      </c>
      <c r="G44" s="63">
        <v>26</v>
      </c>
      <c r="H44" s="64">
        <v>2.7225130890052354</v>
      </c>
      <c r="I44" s="63">
        <v>132</v>
      </c>
      <c r="J44" s="67" t="s">
        <v>289</v>
      </c>
      <c r="K44" s="70"/>
      <c r="L44" s="70"/>
    </row>
    <row r="45" spans="2:12" x14ac:dyDescent="0.25">
      <c r="B45" s="63" t="s">
        <v>311</v>
      </c>
      <c r="C45" s="71" t="s">
        <v>312</v>
      </c>
      <c r="D45" s="63">
        <v>33</v>
      </c>
      <c r="E45" s="63">
        <v>4</v>
      </c>
      <c r="F45" s="63">
        <v>38.200000000000003</v>
      </c>
      <c r="G45" s="63">
        <v>26</v>
      </c>
      <c r="H45" s="64">
        <v>2.7225130890052354</v>
      </c>
      <c r="I45" s="63">
        <v>132</v>
      </c>
      <c r="J45" s="67" t="s">
        <v>289</v>
      </c>
      <c r="K45" s="70"/>
      <c r="L45" s="61"/>
    </row>
    <row r="46" spans="2:12" x14ac:dyDescent="0.25">
      <c r="B46" s="63" t="s">
        <v>313</v>
      </c>
      <c r="C46" s="71" t="s">
        <v>314</v>
      </c>
      <c r="D46" s="63">
        <v>33</v>
      </c>
      <c r="E46" s="63">
        <v>4</v>
      </c>
      <c r="F46" s="63">
        <v>38</v>
      </c>
      <c r="G46" s="63">
        <v>26</v>
      </c>
      <c r="H46" s="64">
        <v>2.736842105263158</v>
      </c>
      <c r="I46" s="63">
        <v>132</v>
      </c>
      <c r="J46" s="67" t="s">
        <v>289</v>
      </c>
      <c r="K46" s="70"/>
      <c r="L46" s="70"/>
    </row>
    <row r="47" spans="2:12" x14ac:dyDescent="0.25">
      <c r="B47" s="63" t="s">
        <v>313</v>
      </c>
      <c r="C47" s="71" t="s">
        <v>314</v>
      </c>
      <c r="D47" s="63">
        <v>33</v>
      </c>
      <c r="E47" s="63">
        <v>4</v>
      </c>
      <c r="F47" s="63">
        <v>38</v>
      </c>
      <c r="G47" s="63">
        <v>26</v>
      </c>
      <c r="H47" s="64">
        <v>2.736842105263158</v>
      </c>
      <c r="I47" s="63">
        <v>132</v>
      </c>
      <c r="J47" s="67" t="s">
        <v>289</v>
      </c>
      <c r="K47" s="70"/>
      <c r="L47" s="61"/>
    </row>
    <row r="48" spans="2:12" x14ac:dyDescent="0.25">
      <c r="B48" s="15" t="s">
        <v>325</v>
      </c>
      <c r="C48" s="73" t="s">
        <v>326</v>
      </c>
      <c r="D48" s="15">
        <v>33</v>
      </c>
      <c r="E48" s="15">
        <v>4</v>
      </c>
      <c r="F48" s="58">
        <v>53</v>
      </c>
      <c r="G48" s="15">
        <v>28</v>
      </c>
      <c r="H48" s="16">
        <v>2.1132075471698113</v>
      </c>
      <c r="I48" s="15">
        <v>132</v>
      </c>
      <c r="J48" s="17"/>
      <c r="K48" s="17"/>
      <c r="L48" s="61"/>
    </row>
    <row r="49" spans="2:12" x14ac:dyDescent="0.25">
      <c r="B49" s="15" t="s">
        <v>325</v>
      </c>
      <c r="C49" s="73" t="s">
        <v>326</v>
      </c>
      <c r="D49" s="15">
        <v>33</v>
      </c>
      <c r="E49" s="15">
        <v>4</v>
      </c>
      <c r="F49" s="58">
        <v>53</v>
      </c>
      <c r="G49" s="15">
        <v>30</v>
      </c>
      <c r="H49" s="16">
        <v>2.2641509433962264</v>
      </c>
      <c r="I49" s="15">
        <v>132</v>
      </c>
      <c r="J49" s="17"/>
      <c r="K49" s="17"/>
      <c r="L49" s="17"/>
    </row>
    <row r="50" spans="2:12" x14ac:dyDescent="0.25">
      <c r="B50" s="18" t="s">
        <v>39</v>
      </c>
      <c r="C50" s="22" t="s">
        <v>96</v>
      </c>
      <c r="D50" s="18">
        <v>33</v>
      </c>
      <c r="E50" s="18">
        <v>4</v>
      </c>
      <c r="F50" s="72">
        <v>33.666666666666664</v>
      </c>
      <c r="G50" s="18">
        <v>30</v>
      </c>
      <c r="H50" s="19">
        <v>3.5643564356435644</v>
      </c>
      <c r="I50" s="18">
        <v>132</v>
      </c>
      <c r="J50" s="20" t="s">
        <v>277</v>
      </c>
      <c r="K50" s="21"/>
      <c r="L50" s="21"/>
    </row>
    <row r="51" spans="2:12" x14ac:dyDescent="0.25">
      <c r="B51" s="18" t="s">
        <v>39</v>
      </c>
      <c r="C51" s="22" t="s">
        <v>96</v>
      </c>
      <c r="D51" s="18">
        <v>33</v>
      </c>
      <c r="E51" s="18">
        <v>4</v>
      </c>
      <c r="F51" s="72">
        <v>33.666666666666664</v>
      </c>
      <c r="G51" s="18">
        <v>26</v>
      </c>
      <c r="H51" s="19">
        <v>3.0891089108910892</v>
      </c>
      <c r="I51" s="18">
        <v>132</v>
      </c>
      <c r="J51" s="20" t="s">
        <v>277</v>
      </c>
      <c r="K51" s="21"/>
      <c r="L51" s="61"/>
    </row>
    <row r="52" spans="2:12" x14ac:dyDescent="0.25">
      <c r="B52" s="18" t="s">
        <v>10</v>
      </c>
      <c r="C52" s="22" t="s">
        <v>322</v>
      </c>
      <c r="D52" s="18">
        <v>33</v>
      </c>
      <c r="E52" s="18">
        <v>4</v>
      </c>
      <c r="F52" s="18">
        <v>35.700000000000003</v>
      </c>
      <c r="G52" s="18">
        <v>28</v>
      </c>
      <c r="H52" s="19">
        <v>3.1372549019607838</v>
      </c>
      <c r="I52" s="18">
        <v>132</v>
      </c>
      <c r="J52" s="20" t="s">
        <v>271</v>
      </c>
      <c r="K52" s="21"/>
      <c r="L52" s="61"/>
    </row>
    <row r="53" spans="2:12" x14ac:dyDescent="0.25">
      <c r="B53" s="63" t="s">
        <v>10</v>
      </c>
      <c r="C53" s="71" t="s">
        <v>322</v>
      </c>
      <c r="D53" s="63">
        <v>33</v>
      </c>
      <c r="E53" s="63">
        <v>4</v>
      </c>
      <c r="F53" s="63">
        <v>35.700000000000003</v>
      </c>
      <c r="G53" s="63">
        <v>30</v>
      </c>
      <c r="H53" s="64">
        <v>3.3613445378151257</v>
      </c>
      <c r="I53" s="63">
        <v>132</v>
      </c>
      <c r="J53" s="67" t="s">
        <v>271</v>
      </c>
      <c r="K53" s="70"/>
      <c r="L53" s="70"/>
    </row>
    <row r="54" spans="2:12" x14ac:dyDescent="0.25">
      <c r="B54" s="18" t="s">
        <v>42</v>
      </c>
      <c r="C54" s="22" t="s">
        <v>323</v>
      </c>
      <c r="D54" s="18">
        <v>33</v>
      </c>
      <c r="E54" s="18">
        <v>4</v>
      </c>
      <c r="F54" s="63">
        <v>54</v>
      </c>
      <c r="G54" s="18">
        <v>28</v>
      </c>
      <c r="H54" s="19">
        <v>2.074074074074074</v>
      </c>
      <c r="I54" s="18">
        <v>132</v>
      </c>
      <c r="J54" s="20" t="s">
        <v>277</v>
      </c>
      <c r="K54" s="21"/>
      <c r="L54" s="61"/>
    </row>
    <row r="55" spans="2:12" x14ac:dyDescent="0.25">
      <c r="B55" s="18" t="s">
        <v>42</v>
      </c>
      <c r="C55" s="22" t="s">
        <v>323</v>
      </c>
      <c r="D55" s="18">
        <v>33</v>
      </c>
      <c r="E55" s="18">
        <v>4</v>
      </c>
      <c r="F55" s="18">
        <v>54</v>
      </c>
      <c r="G55" s="18">
        <v>30</v>
      </c>
      <c r="H55" s="19">
        <v>2.2222222222222223</v>
      </c>
      <c r="I55" s="18">
        <v>132</v>
      </c>
      <c r="J55" s="20" t="s">
        <v>277</v>
      </c>
      <c r="K55" s="21"/>
      <c r="L55" s="21"/>
    </row>
    <row r="56" spans="2:12" x14ac:dyDescent="0.25">
      <c r="B56" s="18" t="s">
        <v>17</v>
      </c>
      <c r="C56" s="22" t="s">
        <v>324</v>
      </c>
      <c r="D56" s="18">
        <v>33</v>
      </c>
      <c r="E56" s="18">
        <v>4</v>
      </c>
      <c r="F56" s="18">
        <v>55</v>
      </c>
      <c r="G56" s="18">
        <v>28</v>
      </c>
      <c r="H56" s="19">
        <v>2.0363636363636362</v>
      </c>
      <c r="I56" s="18">
        <v>132</v>
      </c>
      <c r="J56" s="20" t="s">
        <v>271</v>
      </c>
      <c r="K56" s="21"/>
      <c r="L56" s="61"/>
    </row>
    <row r="57" spans="2:12" x14ac:dyDescent="0.25">
      <c r="B57" s="18" t="s">
        <v>17</v>
      </c>
      <c r="C57" s="22" t="s">
        <v>324</v>
      </c>
      <c r="D57" s="18">
        <v>33</v>
      </c>
      <c r="E57" s="18">
        <v>4</v>
      </c>
      <c r="F57" s="18">
        <v>55</v>
      </c>
      <c r="G57" s="18">
        <v>30</v>
      </c>
      <c r="H57" s="19">
        <v>2.1818181818181817</v>
      </c>
      <c r="I57" s="18">
        <v>132</v>
      </c>
      <c r="J57" s="20" t="s">
        <v>271</v>
      </c>
      <c r="K57" s="21"/>
      <c r="L57" s="21"/>
    </row>
    <row r="58" spans="2:12" x14ac:dyDescent="0.25">
      <c r="B58" s="65" t="s">
        <v>13</v>
      </c>
      <c r="C58" s="66" t="s">
        <v>96</v>
      </c>
      <c r="D58" s="18">
        <v>33</v>
      </c>
      <c r="E58" s="18">
        <v>4</v>
      </c>
      <c r="F58" s="18">
        <v>28.6</v>
      </c>
      <c r="G58" s="18">
        <v>30</v>
      </c>
      <c r="H58" s="19">
        <v>4.1958041958041958</v>
      </c>
      <c r="I58" s="18">
        <v>132</v>
      </c>
      <c r="J58" s="64">
        <v>16.47773740776374</v>
      </c>
      <c r="K58" s="64">
        <v>115.52226259223626</v>
      </c>
      <c r="L58" s="67" t="s">
        <v>271</v>
      </c>
    </row>
    <row r="59" spans="2:12" x14ac:dyDescent="0.25">
      <c r="B59" s="65" t="s">
        <v>13</v>
      </c>
      <c r="C59" s="66" t="s">
        <v>96</v>
      </c>
      <c r="D59" s="18">
        <v>33</v>
      </c>
      <c r="E59" s="18">
        <v>4</v>
      </c>
      <c r="F59" s="18">
        <v>28.6</v>
      </c>
      <c r="G59" s="18">
        <v>30</v>
      </c>
      <c r="H59" s="19">
        <v>4.1958041958041958</v>
      </c>
      <c r="I59" s="18">
        <v>132</v>
      </c>
      <c r="J59" s="64">
        <v>25.543974422170976</v>
      </c>
      <c r="K59" s="64">
        <v>106.45602557782902</v>
      </c>
      <c r="L59" s="67" t="s">
        <v>271</v>
      </c>
    </row>
    <row r="60" spans="2:12" x14ac:dyDescent="0.25">
      <c r="B60" s="62" t="s">
        <v>90</v>
      </c>
      <c r="C60" s="68" t="s">
        <v>272</v>
      </c>
      <c r="D60" s="58">
        <v>33</v>
      </c>
      <c r="E60" s="58">
        <v>4</v>
      </c>
      <c r="F60" s="69">
        <v>46.2</v>
      </c>
      <c r="G60" s="58">
        <v>30</v>
      </c>
      <c r="H60" s="60">
        <v>2.5974025974025974</v>
      </c>
      <c r="I60" s="58">
        <v>132</v>
      </c>
      <c r="J60" s="61"/>
      <c r="K60" s="61"/>
      <c r="L60" s="61"/>
    </row>
    <row r="61" spans="2:12" x14ac:dyDescent="0.25">
      <c r="B61" s="62" t="s">
        <v>90</v>
      </c>
      <c r="C61" s="68" t="s">
        <v>272</v>
      </c>
      <c r="D61" s="58">
        <v>33</v>
      </c>
      <c r="E61" s="58">
        <v>4</v>
      </c>
      <c r="F61" s="69">
        <v>46.2</v>
      </c>
      <c r="G61" s="58">
        <v>30</v>
      </c>
      <c r="H61" s="60">
        <v>2.5974025974025974</v>
      </c>
      <c r="I61" s="58">
        <v>132</v>
      </c>
      <c r="J61" s="61"/>
      <c r="K61" s="61"/>
      <c r="L61" s="61"/>
    </row>
    <row r="62" spans="2:12" x14ac:dyDescent="0.25">
      <c r="B62" s="62" t="s">
        <v>68</v>
      </c>
      <c r="C62" s="68" t="s">
        <v>273</v>
      </c>
      <c r="D62" s="15">
        <v>33</v>
      </c>
      <c r="E62" s="15">
        <v>4</v>
      </c>
      <c r="F62" s="69">
        <v>47.9</v>
      </c>
      <c r="G62" s="15">
        <v>30</v>
      </c>
      <c r="H62" s="16">
        <v>2.5052192066805845</v>
      </c>
      <c r="I62" s="15">
        <v>132</v>
      </c>
      <c r="J62" s="17"/>
      <c r="K62" s="17"/>
      <c r="L62" s="17"/>
    </row>
    <row r="63" spans="2:12" x14ac:dyDescent="0.25">
      <c r="B63" s="62" t="s">
        <v>68</v>
      </c>
      <c r="C63" s="68" t="s">
        <v>273</v>
      </c>
      <c r="D63" s="15">
        <v>33</v>
      </c>
      <c r="E63" s="15">
        <v>4</v>
      </c>
      <c r="F63" s="69">
        <v>47.9</v>
      </c>
      <c r="G63" s="15">
        <v>30</v>
      </c>
      <c r="H63" s="16">
        <v>2.5052192066805845</v>
      </c>
      <c r="I63" s="15">
        <v>132</v>
      </c>
      <c r="J63" s="17"/>
      <c r="K63" s="17"/>
      <c r="L63" s="17"/>
    </row>
    <row r="64" spans="2:12" x14ac:dyDescent="0.25">
      <c r="B64" s="62" t="s">
        <v>15</v>
      </c>
      <c r="C64" s="68" t="s">
        <v>274</v>
      </c>
      <c r="D64" s="58">
        <v>33</v>
      </c>
      <c r="E64" s="58">
        <v>4</v>
      </c>
      <c r="F64" s="69">
        <v>45</v>
      </c>
      <c r="G64" s="58">
        <v>30</v>
      </c>
      <c r="H64" s="60">
        <v>2.6666666666666665</v>
      </c>
      <c r="I64" s="58">
        <v>132</v>
      </c>
      <c r="J64" s="61"/>
      <c r="K64" s="61"/>
      <c r="L64" s="61"/>
    </row>
    <row r="65" spans="2:12" x14ac:dyDescent="0.25">
      <c r="B65" s="62" t="s">
        <v>15</v>
      </c>
      <c r="C65" s="68" t="s">
        <v>274</v>
      </c>
      <c r="D65" s="15">
        <v>33</v>
      </c>
      <c r="E65" s="15">
        <v>4</v>
      </c>
      <c r="F65" s="69">
        <v>45</v>
      </c>
      <c r="G65" s="15">
        <v>30</v>
      </c>
      <c r="H65" s="16">
        <v>2.6666666666666665</v>
      </c>
      <c r="I65" s="15">
        <v>132</v>
      </c>
      <c r="J65" s="17"/>
      <c r="K65" s="17"/>
      <c r="L65" s="17"/>
    </row>
    <row r="66" spans="2:12" x14ac:dyDescent="0.25">
      <c r="B66" s="58" t="s">
        <v>6</v>
      </c>
      <c r="C66" s="74" t="s">
        <v>98</v>
      </c>
      <c r="D66" s="23">
        <v>33</v>
      </c>
      <c r="E66" s="24">
        <v>4</v>
      </c>
      <c r="F66" s="31">
        <v>39.700000000000003</v>
      </c>
      <c r="G66" s="24">
        <v>26</v>
      </c>
      <c r="H66" s="25">
        <v>2.6196473551637278</v>
      </c>
      <c r="I66" s="23">
        <v>132</v>
      </c>
      <c r="J66" s="25">
        <v>19.017046141370798</v>
      </c>
      <c r="K66" s="25">
        <v>112.9829538586292</v>
      </c>
      <c r="L66" s="1"/>
    </row>
    <row r="67" spans="2:12" x14ac:dyDescent="0.25">
      <c r="B67" s="58" t="s">
        <v>6</v>
      </c>
      <c r="C67" s="74" t="s">
        <v>98</v>
      </c>
      <c r="D67" s="23">
        <v>33</v>
      </c>
      <c r="E67" s="59">
        <v>4</v>
      </c>
      <c r="F67" s="31">
        <v>39.700000000000003</v>
      </c>
      <c r="G67" s="59">
        <v>26</v>
      </c>
      <c r="H67" s="25">
        <v>2.6196473551637278</v>
      </c>
      <c r="I67" s="23">
        <v>132</v>
      </c>
      <c r="J67" s="60">
        <v>18.051285130145672</v>
      </c>
      <c r="K67" s="60">
        <v>113.94871486985433</v>
      </c>
    </row>
    <row r="68" spans="2:12" x14ac:dyDescent="0.25">
      <c r="B68" s="58" t="s">
        <v>83</v>
      </c>
      <c r="C68" s="74" t="s">
        <v>294</v>
      </c>
      <c r="D68" s="23">
        <v>33</v>
      </c>
      <c r="E68" s="23">
        <v>4</v>
      </c>
      <c r="F68" s="31">
        <v>22.1</v>
      </c>
      <c r="G68" s="23">
        <v>26</v>
      </c>
      <c r="H68" s="25">
        <v>4.7058823529411757</v>
      </c>
      <c r="I68" s="23">
        <v>132</v>
      </c>
      <c r="J68" s="26"/>
      <c r="K68" s="26"/>
      <c r="L68" s="1"/>
    </row>
    <row r="69" spans="2:12" x14ac:dyDescent="0.25">
      <c r="B69" s="58" t="s">
        <v>83</v>
      </c>
      <c r="C69" s="74" t="s">
        <v>294</v>
      </c>
      <c r="D69" s="23">
        <v>33</v>
      </c>
      <c r="E69" s="23">
        <v>4</v>
      </c>
      <c r="F69" s="31">
        <v>22.1</v>
      </c>
      <c r="G69" s="23">
        <v>26</v>
      </c>
      <c r="H69" s="25">
        <v>4.7058823529411757</v>
      </c>
      <c r="I69" s="23">
        <v>132</v>
      </c>
      <c r="J69" s="26"/>
      <c r="K69" s="26"/>
    </row>
    <row r="70" spans="2:12" x14ac:dyDescent="0.25">
      <c r="B70" s="58" t="s">
        <v>58</v>
      </c>
      <c r="C70" s="74" t="s">
        <v>296</v>
      </c>
      <c r="D70" s="23">
        <v>33</v>
      </c>
      <c r="E70" s="23">
        <v>4</v>
      </c>
      <c r="F70" s="31">
        <v>35.4</v>
      </c>
      <c r="G70" s="23">
        <v>26</v>
      </c>
      <c r="H70" s="25">
        <v>2.9378531073446328</v>
      </c>
      <c r="I70" s="23">
        <v>132</v>
      </c>
      <c r="J70" s="26"/>
      <c r="K70" s="26"/>
      <c r="L70" s="1"/>
    </row>
    <row r="71" spans="2:12" x14ac:dyDescent="0.25">
      <c r="B71" s="58" t="s">
        <v>58</v>
      </c>
      <c r="C71" s="74" t="s">
        <v>296</v>
      </c>
      <c r="D71" s="58">
        <v>33</v>
      </c>
      <c r="E71" s="58">
        <v>4</v>
      </c>
      <c r="F71" s="69">
        <v>35.4</v>
      </c>
      <c r="G71" s="58">
        <v>26</v>
      </c>
      <c r="H71" s="60">
        <v>2.9378531073446328</v>
      </c>
      <c r="I71" s="58">
        <v>132</v>
      </c>
      <c r="J71" s="61"/>
      <c r="K71" s="61"/>
    </row>
    <row r="72" spans="2:12" x14ac:dyDescent="0.25">
      <c r="B72" s="63" t="s">
        <v>43</v>
      </c>
      <c r="C72" s="71" t="s">
        <v>272</v>
      </c>
      <c r="D72" s="28">
        <v>33</v>
      </c>
      <c r="E72" s="28">
        <v>4</v>
      </c>
      <c r="F72" s="72">
        <v>27.900000000000002</v>
      </c>
      <c r="G72" s="28">
        <v>30</v>
      </c>
      <c r="H72" s="29">
        <v>4.301075268817204</v>
      </c>
      <c r="I72" s="28">
        <v>132</v>
      </c>
      <c r="J72" s="30" t="s">
        <v>277</v>
      </c>
      <c r="K72" s="32"/>
      <c r="L72" s="2"/>
    </row>
    <row r="73" spans="2:12" x14ac:dyDescent="0.25">
      <c r="B73" s="63" t="s">
        <v>43</v>
      </c>
      <c r="C73" s="71" t="s">
        <v>272</v>
      </c>
      <c r="D73" s="28">
        <v>33</v>
      </c>
      <c r="E73" s="28">
        <v>4</v>
      </c>
      <c r="F73" s="72">
        <v>27.900000000000002</v>
      </c>
      <c r="G73" s="28">
        <v>26</v>
      </c>
      <c r="H73" s="29">
        <v>3.7275985663082434</v>
      </c>
      <c r="I73" s="28">
        <v>132</v>
      </c>
      <c r="J73" s="30" t="s">
        <v>277</v>
      </c>
      <c r="K73" s="32"/>
    </row>
    <row r="74" spans="2:12" x14ac:dyDescent="0.25">
      <c r="B74" s="58" t="s">
        <v>32</v>
      </c>
      <c r="C74" s="74" t="s">
        <v>295</v>
      </c>
      <c r="D74" s="23">
        <v>33</v>
      </c>
      <c r="E74" s="23">
        <v>4</v>
      </c>
      <c r="F74" s="31">
        <v>40.9</v>
      </c>
      <c r="G74" s="23">
        <v>26</v>
      </c>
      <c r="H74" s="25">
        <v>2.5427872860635694</v>
      </c>
      <c r="I74" s="23">
        <v>132</v>
      </c>
      <c r="J74" s="26"/>
      <c r="K74" s="26"/>
      <c r="L74" s="1"/>
    </row>
    <row r="75" spans="2:12" x14ac:dyDescent="0.25">
      <c r="B75" s="58" t="s">
        <v>32</v>
      </c>
      <c r="C75" s="74" t="s">
        <v>295</v>
      </c>
      <c r="D75" s="58">
        <v>33</v>
      </c>
      <c r="E75" s="58">
        <v>4</v>
      </c>
      <c r="F75" s="69">
        <v>40.9</v>
      </c>
      <c r="G75" s="58">
        <v>26</v>
      </c>
      <c r="H75" s="60">
        <v>2.5427872860635694</v>
      </c>
      <c r="I75" s="58">
        <v>132</v>
      </c>
      <c r="J75" s="61"/>
      <c r="K75" s="61"/>
    </row>
    <row r="76" spans="2:12" x14ac:dyDescent="0.25">
      <c r="B76" s="27" t="s">
        <v>2</v>
      </c>
      <c r="C76" s="36" t="s">
        <v>273</v>
      </c>
      <c r="D76" s="23">
        <v>33</v>
      </c>
      <c r="E76" s="59">
        <v>4</v>
      </c>
      <c r="F76" s="31">
        <v>34.6</v>
      </c>
      <c r="G76" s="59">
        <v>28</v>
      </c>
      <c r="H76" s="25">
        <v>3.2369942196531793</v>
      </c>
      <c r="I76" s="23">
        <v>132</v>
      </c>
      <c r="J76" s="60">
        <v>16.548119119972654</v>
      </c>
      <c r="K76" s="60">
        <v>115.45188088002735</v>
      </c>
    </row>
    <row r="77" spans="2:12" x14ac:dyDescent="0.25">
      <c r="B77" s="27" t="s">
        <v>2</v>
      </c>
      <c r="C77" s="36" t="s">
        <v>273</v>
      </c>
      <c r="D77" s="23">
        <v>33</v>
      </c>
      <c r="E77" s="59">
        <v>4</v>
      </c>
      <c r="F77" s="31">
        <v>34.6</v>
      </c>
      <c r="G77" s="59">
        <v>26</v>
      </c>
      <c r="H77" s="25">
        <v>3.0057803468208095</v>
      </c>
      <c r="I77" s="23">
        <v>132</v>
      </c>
      <c r="J77" s="60">
        <v>17.903037638713414</v>
      </c>
      <c r="K77" s="60">
        <v>114.09696236128659</v>
      </c>
    </row>
    <row r="78" spans="2:12" x14ac:dyDescent="0.25">
      <c r="B78" s="27" t="s">
        <v>18</v>
      </c>
      <c r="C78" s="36" t="s">
        <v>274</v>
      </c>
      <c r="D78" s="23">
        <v>33</v>
      </c>
      <c r="E78" s="23">
        <v>4</v>
      </c>
      <c r="F78" s="31">
        <v>25.3</v>
      </c>
      <c r="G78" s="23">
        <v>28</v>
      </c>
      <c r="H78" s="25">
        <v>4.4268774703557314</v>
      </c>
      <c r="I78" s="23">
        <v>132</v>
      </c>
      <c r="J78" s="26"/>
      <c r="K78" s="26"/>
    </row>
    <row r="79" spans="2:12" x14ac:dyDescent="0.25">
      <c r="B79" s="27" t="s">
        <v>18</v>
      </c>
      <c r="C79" s="36" t="s">
        <v>274</v>
      </c>
      <c r="D79" s="23">
        <v>33</v>
      </c>
      <c r="E79" s="23">
        <v>4</v>
      </c>
      <c r="F79" s="31">
        <v>25.3</v>
      </c>
      <c r="G79" s="23">
        <v>26</v>
      </c>
      <c r="H79" s="25">
        <v>4.1106719367588935</v>
      </c>
      <c r="I79" s="23">
        <v>132</v>
      </c>
      <c r="J79" s="26"/>
      <c r="K79" s="26"/>
    </row>
    <row r="80" spans="2:12" x14ac:dyDescent="0.25">
      <c r="B80" s="27" t="s">
        <v>65</v>
      </c>
      <c r="C80" s="36" t="s">
        <v>275</v>
      </c>
      <c r="D80" s="23">
        <v>33</v>
      </c>
      <c r="E80" s="23">
        <v>4</v>
      </c>
      <c r="F80" s="31">
        <v>30.9</v>
      </c>
      <c r="G80" s="23">
        <v>28</v>
      </c>
      <c r="H80" s="25">
        <v>3.6245954692556639</v>
      </c>
      <c r="I80" s="23">
        <v>132</v>
      </c>
      <c r="J80" s="26"/>
      <c r="K80" s="26"/>
    </row>
    <row r="81" spans="2:12" x14ac:dyDescent="0.25">
      <c r="B81" s="27" t="s">
        <v>65</v>
      </c>
      <c r="C81" s="36" t="s">
        <v>275</v>
      </c>
      <c r="D81" s="23">
        <v>33</v>
      </c>
      <c r="E81" s="23">
        <v>4</v>
      </c>
      <c r="F81" s="31">
        <v>30.9</v>
      </c>
      <c r="G81" s="23">
        <v>26</v>
      </c>
      <c r="H81" s="25">
        <v>3.3656957928802593</v>
      </c>
      <c r="I81" s="23">
        <v>132</v>
      </c>
      <c r="J81" s="26"/>
      <c r="K81" s="26"/>
    </row>
    <row r="82" spans="2:12" x14ac:dyDescent="0.25">
      <c r="B82" s="62" t="s">
        <v>47</v>
      </c>
      <c r="C82" s="76" t="s">
        <v>276</v>
      </c>
      <c r="D82" s="58">
        <v>33</v>
      </c>
      <c r="E82" s="58">
        <v>4</v>
      </c>
      <c r="F82" s="69">
        <v>26.6</v>
      </c>
      <c r="G82" s="58">
        <v>28</v>
      </c>
      <c r="H82" s="60">
        <v>4.2105263157894735</v>
      </c>
      <c r="I82" s="58">
        <v>132</v>
      </c>
      <c r="J82" s="61"/>
      <c r="K82" s="61"/>
    </row>
    <row r="83" spans="2:12" x14ac:dyDescent="0.25">
      <c r="B83" s="62" t="s">
        <v>47</v>
      </c>
      <c r="C83" s="76" t="s">
        <v>276</v>
      </c>
      <c r="D83" s="58">
        <v>33</v>
      </c>
      <c r="E83" s="58">
        <v>4</v>
      </c>
      <c r="F83" s="69">
        <v>26.6</v>
      </c>
      <c r="G83" s="58">
        <v>26</v>
      </c>
      <c r="H83" s="60">
        <v>3.9097744360902253</v>
      </c>
      <c r="I83" s="58">
        <v>132</v>
      </c>
      <c r="J83" s="61"/>
      <c r="K83" s="61"/>
    </row>
    <row r="84" spans="2:12" x14ac:dyDescent="0.25">
      <c r="B84" s="28" t="s">
        <v>37</v>
      </c>
      <c r="C84" s="33" t="s">
        <v>274</v>
      </c>
      <c r="D84" s="28">
        <v>33</v>
      </c>
      <c r="E84" s="28">
        <v>4</v>
      </c>
      <c r="F84" s="72">
        <v>32.533333333333331</v>
      </c>
      <c r="G84" s="28">
        <v>30</v>
      </c>
      <c r="H84" s="29">
        <v>3.6885245901639347</v>
      </c>
      <c r="I84" s="28">
        <v>132</v>
      </c>
      <c r="J84" s="30" t="s">
        <v>277</v>
      </c>
      <c r="K84" s="32"/>
      <c r="L84" s="2"/>
    </row>
    <row r="85" spans="2:12" x14ac:dyDescent="0.25">
      <c r="B85" s="28" t="s">
        <v>37</v>
      </c>
      <c r="C85" s="33" t="s">
        <v>274</v>
      </c>
      <c r="D85" s="28">
        <v>33</v>
      </c>
      <c r="E85" s="28">
        <v>4</v>
      </c>
      <c r="F85" s="72">
        <v>32.533333333333331</v>
      </c>
      <c r="G85" s="28">
        <v>26</v>
      </c>
      <c r="H85" s="29">
        <v>3.1967213114754101</v>
      </c>
      <c r="I85" s="28">
        <v>132</v>
      </c>
      <c r="J85" s="30" t="s">
        <v>277</v>
      </c>
      <c r="K85" s="32"/>
    </row>
    <row r="86" spans="2:12" x14ac:dyDescent="0.25">
      <c r="B86" s="63" t="s">
        <v>45</v>
      </c>
      <c r="C86" s="71" t="s">
        <v>275</v>
      </c>
      <c r="D86" s="63">
        <v>33</v>
      </c>
      <c r="E86" s="63">
        <v>4</v>
      </c>
      <c r="F86" s="72">
        <v>39.333333333333336</v>
      </c>
      <c r="G86" s="63">
        <v>30</v>
      </c>
      <c r="H86" s="64">
        <v>3.0508474576271185</v>
      </c>
      <c r="I86" s="63">
        <v>132</v>
      </c>
      <c r="J86" s="67" t="s">
        <v>277</v>
      </c>
      <c r="K86" s="70"/>
      <c r="L86" s="2"/>
    </row>
    <row r="87" spans="2:12" x14ac:dyDescent="0.25">
      <c r="B87" s="28" t="s">
        <v>45</v>
      </c>
      <c r="C87" s="33" t="s">
        <v>275</v>
      </c>
      <c r="D87" s="28">
        <v>33</v>
      </c>
      <c r="E87" s="28">
        <v>4</v>
      </c>
      <c r="F87" s="34">
        <v>39.333333333333336</v>
      </c>
      <c r="G87" s="28">
        <v>26</v>
      </c>
      <c r="H87" s="29">
        <v>2.6440677966101696</v>
      </c>
      <c r="I87" s="28">
        <v>132</v>
      </c>
      <c r="J87" s="30" t="s">
        <v>277</v>
      </c>
      <c r="K87" s="32"/>
    </row>
    <row r="88" spans="2:12" x14ac:dyDescent="0.25">
      <c r="B88" s="28" t="s">
        <v>62</v>
      </c>
      <c r="C88" s="33" t="s">
        <v>301</v>
      </c>
      <c r="D88" s="28">
        <v>33</v>
      </c>
      <c r="E88" s="28">
        <v>4</v>
      </c>
      <c r="F88" s="63">
        <v>29.75</v>
      </c>
      <c r="G88" s="28">
        <v>26</v>
      </c>
      <c r="H88" s="29">
        <v>3.4957983193277311</v>
      </c>
      <c r="I88" s="28">
        <v>132</v>
      </c>
      <c r="J88" s="30" t="s">
        <v>271</v>
      </c>
      <c r="K88" s="32"/>
      <c r="L88" s="2"/>
    </row>
    <row r="89" spans="2:12" x14ac:dyDescent="0.25">
      <c r="B89" s="28" t="s">
        <v>62</v>
      </c>
      <c r="C89" s="33" t="s">
        <v>301</v>
      </c>
      <c r="D89" s="28">
        <v>33</v>
      </c>
      <c r="E89" s="28">
        <v>4</v>
      </c>
      <c r="F89" s="63">
        <v>29.75</v>
      </c>
      <c r="G89" s="28">
        <v>26</v>
      </c>
      <c r="H89" s="29">
        <v>3.4957983193277311</v>
      </c>
      <c r="I89" s="28">
        <v>132</v>
      </c>
      <c r="J89" s="30" t="s">
        <v>271</v>
      </c>
      <c r="K89" s="32"/>
    </row>
    <row r="90" spans="2:12" x14ac:dyDescent="0.25">
      <c r="B90" s="28" t="s">
        <v>73</v>
      </c>
      <c r="C90" s="33" t="s">
        <v>302</v>
      </c>
      <c r="D90" s="28">
        <v>33</v>
      </c>
      <c r="E90" s="28">
        <v>4</v>
      </c>
      <c r="F90" s="63">
        <v>47.65</v>
      </c>
      <c r="G90" s="28">
        <v>26</v>
      </c>
      <c r="H90" s="29">
        <v>2.1825813221406087</v>
      </c>
      <c r="I90" s="28">
        <v>132</v>
      </c>
      <c r="J90" s="30" t="s">
        <v>271</v>
      </c>
      <c r="K90" s="32"/>
      <c r="L90" s="2"/>
    </row>
    <row r="91" spans="2:12" x14ac:dyDescent="0.25">
      <c r="B91" s="28" t="s">
        <v>73</v>
      </c>
      <c r="C91" s="33" t="s">
        <v>302</v>
      </c>
      <c r="D91" s="28">
        <v>33</v>
      </c>
      <c r="E91" s="28">
        <v>4</v>
      </c>
      <c r="F91" s="63">
        <v>47.65</v>
      </c>
      <c r="G91" s="28">
        <v>26</v>
      </c>
      <c r="H91" s="29">
        <v>2.1825813221406087</v>
      </c>
      <c r="I91" s="28">
        <v>132</v>
      </c>
      <c r="J91" s="30" t="s">
        <v>271</v>
      </c>
      <c r="K91" s="32"/>
    </row>
    <row r="92" spans="2:12" x14ac:dyDescent="0.25">
      <c r="B92" s="28" t="s">
        <v>71</v>
      </c>
      <c r="C92" s="33" t="s">
        <v>306</v>
      </c>
      <c r="D92" s="28">
        <v>33</v>
      </c>
      <c r="E92" s="28">
        <v>4</v>
      </c>
      <c r="F92" s="63">
        <v>26.85</v>
      </c>
      <c r="G92" s="28">
        <v>26</v>
      </c>
      <c r="H92" s="29">
        <v>3.8733705772811917</v>
      </c>
      <c r="I92" s="28">
        <v>132</v>
      </c>
      <c r="J92" s="30" t="s">
        <v>271</v>
      </c>
      <c r="K92" s="32"/>
      <c r="L92" s="2"/>
    </row>
    <row r="93" spans="2:12" x14ac:dyDescent="0.25">
      <c r="B93" s="28" t="s">
        <v>71</v>
      </c>
      <c r="C93" s="33" t="s">
        <v>306</v>
      </c>
      <c r="D93" s="28">
        <v>33</v>
      </c>
      <c r="E93" s="28">
        <v>4</v>
      </c>
      <c r="F93" s="63">
        <v>26.85</v>
      </c>
      <c r="G93" s="28">
        <v>26</v>
      </c>
      <c r="H93" s="29">
        <v>3.8733705772811917</v>
      </c>
      <c r="I93" s="28">
        <v>132</v>
      </c>
      <c r="J93" s="30" t="s">
        <v>271</v>
      </c>
      <c r="K93" s="32"/>
    </row>
    <row r="94" spans="2:12" x14ac:dyDescent="0.25">
      <c r="B94" s="23" t="s">
        <v>307</v>
      </c>
      <c r="C94" s="35" t="s">
        <v>304</v>
      </c>
      <c r="D94" s="23">
        <v>33</v>
      </c>
      <c r="E94" s="23">
        <v>4</v>
      </c>
      <c r="F94" s="23"/>
      <c r="G94" s="23">
        <v>26</v>
      </c>
      <c r="H94" s="25"/>
      <c r="I94" s="23">
        <v>132</v>
      </c>
      <c r="J94" s="26"/>
      <c r="K94" s="26"/>
      <c r="L94" s="1"/>
    </row>
    <row r="95" spans="2:12" x14ac:dyDescent="0.25">
      <c r="B95" s="23" t="s">
        <v>307</v>
      </c>
      <c r="C95" s="35" t="s">
        <v>304</v>
      </c>
      <c r="D95" s="23">
        <v>33</v>
      </c>
      <c r="E95" s="23">
        <v>4</v>
      </c>
      <c r="F95" s="23"/>
      <c r="G95" s="23">
        <v>26</v>
      </c>
      <c r="H95" s="25"/>
      <c r="I95" s="23">
        <v>132</v>
      </c>
      <c r="J95" s="26"/>
      <c r="K95" s="26"/>
    </row>
    <row r="96" spans="2:12" x14ac:dyDescent="0.25">
      <c r="B96" s="28" t="s">
        <v>91</v>
      </c>
      <c r="C96" s="33" t="s">
        <v>102</v>
      </c>
      <c r="D96" s="28">
        <v>33</v>
      </c>
      <c r="E96" s="28">
        <v>4</v>
      </c>
      <c r="F96" s="28">
        <v>34.65</v>
      </c>
      <c r="G96" s="28">
        <v>28</v>
      </c>
      <c r="H96" s="29">
        <v>3.2323232323232323</v>
      </c>
      <c r="I96" s="28">
        <v>132</v>
      </c>
      <c r="J96" s="30" t="s">
        <v>271</v>
      </c>
      <c r="K96" s="32"/>
    </row>
    <row r="97" spans="2:12" x14ac:dyDescent="0.25">
      <c r="B97" s="28" t="s">
        <v>91</v>
      </c>
      <c r="C97" s="33" t="s">
        <v>102</v>
      </c>
      <c r="D97" s="28">
        <v>33</v>
      </c>
      <c r="E97" s="28">
        <v>4</v>
      </c>
      <c r="F97" s="28">
        <v>34.65</v>
      </c>
      <c r="G97" s="28">
        <v>30</v>
      </c>
      <c r="H97" s="29">
        <v>3.4632034632034632</v>
      </c>
      <c r="I97" s="28">
        <v>132</v>
      </c>
      <c r="J97" s="30" t="s">
        <v>271</v>
      </c>
      <c r="K97" s="32"/>
      <c r="L97" s="2"/>
    </row>
    <row r="98" spans="2:12" x14ac:dyDescent="0.25">
      <c r="B98" s="37" t="s">
        <v>87</v>
      </c>
      <c r="C98" s="73" t="s">
        <v>98</v>
      </c>
      <c r="D98" s="37">
        <v>33</v>
      </c>
      <c r="E98" s="58">
        <v>4</v>
      </c>
      <c r="F98" s="58">
        <v>46.9</v>
      </c>
      <c r="G98" s="58">
        <v>30</v>
      </c>
      <c r="H98" s="38">
        <v>2.5586353944562901</v>
      </c>
      <c r="I98" s="37">
        <v>132</v>
      </c>
      <c r="J98" s="61"/>
      <c r="K98" s="61"/>
      <c r="L98" s="1"/>
    </row>
    <row r="99" spans="2:12" x14ac:dyDescent="0.25">
      <c r="B99" s="37" t="s">
        <v>87</v>
      </c>
      <c r="C99" s="73" t="s">
        <v>98</v>
      </c>
      <c r="D99" s="37">
        <v>33</v>
      </c>
      <c r="E99" s="37">
        <v>4</v>
      </c>
      <c r="F99" s="58">
        <v>46.9</v>
      </c>
      <c r="G99" s="37">
        <v>26</v>
      </c>
      <c r="H99" s="38">
        <v>2.2174840085287846</v>
      </c>
      <c r="I99" s="37">
        <v>132</v>
      </c>
      <c r="J99" s="39"/>
      <c r="K99" s="39"/>
    </row>
    <row r="100" spans="2:12" x14ac:dyDescent="0.25">
      <c r="B100" s="37" t="s">
        <v>53</v>
      </c>
      <c r="C100" s="73" t="s">
        <v>334</v>
      </c>
      <c r="D100" s="37">
        <v>33</v>
      </c>
      <c r="E100" s="37">
        <v>4</v>
      </c>
      <c r="F100" s="58">
        <v>53.7</v>
      </c>
      <c r="G100" s="37">
        <v>28</v>
      </c>
      <c r="H100" s="38">
        <v>2.0856610800744879</v>
      </c>
      <c r="I100" s="37">
        <v>132</v>
      </c>
      <c r="J100" s="39"/>
      <c r="K100" s="39"/>
    </row>
    <row r="101" spans="2:12" x14ac:dyDescent="0.25">
      <c r="B101" s="37" t="s">
        <v>53</v>
      </c>
      <c r="C101" s="73" t="s">
        <v>334</v>
      </c>
      <c r="D101" s="37">
        <v>33</v>
      </c>
      <c r="E101" s="37">
        <v>4</v>
      </c>
      <c r="F101" s="58">
        <v>53.7</v>
      </c>
      <c r="G101" s="37">
        <v>30</v>
      </c>
      <c r="H101" s="38">
        <v>2.2346368715083798</v>
      </c>
      <c r="I101" s="37">
        <v>132</v>
      </c>
      <c r="J101" s="39"/>
      <c r="K101" s="39"/>
      <c r="L101" s="1"/>
    </row>
    <row r="102" spans="2:12" x14ac:dyDescent="0.25">
      <c r="B102" s="63" t="s">
        <v>25</v>
      </c>
      <c r="C102" s="71" t="s">
        <v>104</v>
      </c>
      <c r="D102" s="63">
        <v>33</v>
      </c>
      <c r="E102" s="63">
        <v>4</v>
      </c>
      <c r="F102" s="63">
        <v>32.950000000000003</v>
      </c>
      <c r="G102" s="63">
        <v>28</v>
      </c>
      <c r="H102" s="64">
        <v>3.3990895295902881</v>
      </c>
      <c r="I102" s="63">
        <v>132</v>
      </c>
      <c r="J102" s="67" t="s">
        <v>271</v>
      </c>
      <c r="K102" s="70"/>
    </row>
    <row r="103" spans="2:12" x14ac:dyDescent="0.25">
      <c r="B103" s="40" t="s">
        <v>25</v>
      </c>
      <c r="C103" s="71" t="s">
        <v>104</v>
      </c>
      <c r="D103" s="40">
        <v>33</v>
      </c>
      <c r="E103" s="40">
        <v>4</v>
      </c>
      <c r="F103" s="40">
        <v>32.950000000000003</v>
      </c>
      <c r="G103" s="40">
        <v>30</v>
      </c>
      <c r="H103" s="41">
        <v>3.641881638846737</v>
      </c>
      <c r="I103" s="40">
        <v>132</v>
      </c>
      <c r="J103" s="42" t="s">
        <v>271</v>
      </c>
      <c r="K103" s="44"/>
      <c r="L103" s="2"/>
    </row>
    <row r="104" spans="2:12" x14ac:dyDescent="0.25">
      <c r="B104" s="40" t="s">
        <v>70</v>
      </c>
      <c r="C104" s="71" t="s">
        <v>222</v>
      </c>
      <c r="D104" s="40">
        <v>33</v>
      </c>
      <c r="E104" s="40">
        <v>4</v>
      </c>
      <c r="F104" s="40">
        <v>36.299999999999997</v>
      </c>
      <c r="G104" s="40">
        <v>28</v>
      </c>
      <c r="H104" s="41">
        <v>3.0853994490358132</v>
      </c>
      <c r="I104" s="40">
        <v>132</v>
      </c>
      <c r="J104" s="42" t="s">
        <v>271</v>
      </c>
      <c r="K104" s="44"/>
    </row>
    <row r="105" spans="2:12" x14ac:dyDescent="0.25">
      <c r="B105" s="40" t="s">
        <v>70</v>
      </c>
      <c r="C105" s="71" t="s">
        <v>222</v>
      </c>
      <c r="D105" s="40">
        <v>33</v>
      </c>
      <c r="E105" s="40">
        <v>4</v>
      </c>
      <c r="F105" s="40">
        <v>36.299999999999997</v>
      </c>
      <c r="G105" s="40">
        <v>30</v>
      </c>
      <c r="H105" s="41">
        <v>3.3057851239669427</v>
      </c>
      <c r="I105" s="40">
        <v>132</v>
      </c>
      <c r="J105" s="42" t="s">
        <v>271</v>
      </c>
      <c r="K105" s="44"/>
      <c r="L105" s="2"/>
    </row>
    <row r="106" spans="2:12" x14ac:dyDescent="0.25">
      <c r="B106" s="62" t="s">
        <v>89</v>
      </c>
      <c r="C106" s="68" t="s">
        <v>283</v>
      </c>
      <c r="D106" s="37">
        <v>33</v>
      </c>
      <c r="E106" s="37">
        <v>4</v>
      </c>
      <c r="F106" s="43">
        <v>21.1</v>
      </c>
      <c r="G106" s="37">
        <v>30</v>
      </c>
      <c r="H106" s="38">
        <v>5.6872037914691935</v>
      </c>
      <c r="I106" s="37">
        <v>132</v>
      </c>
      <c r="J106" s="39"/>
      <c r="K106" s="39"/>
      <c r="L106" s="1"/>
    </row>
    <row r="107" spans="2:12" x14ac:dyDescent="0.25">
      <c r="B107" s="62" t="s">
        <v>89</v>
      </c>
      <c r="C107" s="68" t="s">
        <v>283</v>
      </c>
      <c r="D107" s="58">
        <v>33</v>
      </c>
      <c r="E107" s="58">
        <v>4</v>
      </c>
      <c r="F107" s="69">
        <v>21.1</v>
      </c>
      <c r="G107" s="58">
        <v>30</v>
      </c>
      <c r="H107" s="60">
        <v>5.6872037914691935</v>
      </c>
      <c r="I107" s="58">
        <v>132</v>
      </c>
      <c r="J107" s="61"/>
      <c r="K107" s="61"/>
      <c r="L107" s="1"/>
    </row>
    <row r="108" spans="2:12" x14ac:dyDescent="0.25">
      <c r="B108" s="62" t="s">
        <v>23</v>
      </c>
      <c r="C108" s="68" t="s">
        <v>284</v>
      </c>
      <c r="D108" s="37">
        <v>33</v>
      </c>
      <c r="E108" s="37">
        <v>4</v>
      </c>
      <c r="F108" s="43">
        <v>25.4</v>
      </c>
      <c r="G108" s="37">
        <v>30</v>
      </c>
      <c r="H108" s="38">
        <v>4.7244094488188981</v>
      </c>
      <c r="I108" s="37">
        <v>132</v>
      </c>
      <c r="J108" s="39"/>
      <c r="K108" s="39"/>
      <c r="L108" s="1"/>
    </row>
    <row r="109" spans="2:12" x14ac:dyDescent="0.25">
      <c r="B109" s="62" t="s">
        <v>23</v>
      </c>
      <c r="C109" s="68" t="s">
        <v>284</v>
      </c>
      <c r="D109" s="37">
        <v>33</v>
      </c>
      <c r="E109" s="37">
        <v>4</v>
      </c>
      <c r="F109" s="43">
        <v>25.4</v>
      </c>
      <c r="G109" s="37">
        <v>30</v>
      </c>
      <c r="H109" s="38">
        <v>4.7244094488188981</v>
      </c>
      <c r="I109" s="37">
        <v>132</v>
      </c>
      <c r="J109" s="39"/>
      <c r="K109" s="39"/>
      <c r="L109" s="1"/>
    </row>
    <row r="110" spans="2:12" x14ac:dyDescent="0.25">
      <c r="B110" s="62" t="s">
        <v>22</v>
      </c>
      <c r="C110" s="68" t="s">
        <v>285</v>
      </c>
      <c r="D110" s="37">
        <v>33</v>
      </c>
      <c r="E110" s="37">
        <v>4</v>
      </c>
      <c r="F110" s="43">
        <v>30.8</v>
      </c>
      <c r="G110" s="37">
        <v>30</v>
      </c>
      <c r="H110" s="38">
        <v>3.8961038961038961</v>
      </c>
      <c r="I110" s="37">
        <v>132</v>
      </c>
      <c r="J110" s="39"/>
      <c r="K110" s="39"/>
      <c r="L110" s="1"/>
    </row>
    <row r="111" spans="2:12" x14ac:dyDescent="0.25">
      <c r="B111" s="62" t="s">
        <v>22</v>
      </c>
      <c r="C111" s="68" t="s">
        <v>285</v>
      </c>
      <c r="D111" s="37">
        <v>33</v>
      </c>
      <c r="E111" s="37">
        <v>4</v>
      </c>
      <c r="F111" s="43">
        <v>30.8</v>
      </c>
      <c r="G111" s="37">
        <v>30</v>
      </c>
      <c r="H111" s="38">
        <v>3.8961038961038961</v>
      </c>
      <c r="I111" s="37">
        <v>132</v>
      </c>
      <c r="J111" s="39"/>
      <c r="K111" s="39"/>
      <c r="L111" s="1"/>
    </row>
    <row r="112" spans="2:12" x14ac:dyDescent="0.25">
      <c r="B112" s="62" t="s">
        <v>64</v>
      </c>
      <c r="C112" s="68" t="s">
        <v>286</v>
      </c>
      <c r="D112" s="37">
        <v>33</v>
      </c>
      <c r="E112" s="37">
        <v>4</v>
      </c>
      <c r="F112" s="43">
        <v>22.1</v>
      </c>
      <c r="G112" s="37">
        <v>30</v>
      </c>
      <c r="H112" s="38">
        <v>5.4298642533936645</v>
      </c>
      <c r="I112" s="37">
        <v>132</v>
      </c>
      <c r="J112" s="39"/>
      <c r="K112" s="39"/>
      <c r="L112" s="1"/>
    </row>
    <row r="113" spans="2:12" x14ac:dyDescent="0.25">
      <c r="B113" s="62" t="s">
        <v>64</v>
      </c>
      <c r="C113" s="68" t="s">
        <v>286</v>
      </c>
      <c r="D113" s="37">
        <v>33</v>
      </c>
      <c r="E113" s="37">
        <v>4</v>
      </c>
      <c r="F113" s="43">
        <v>22.1</v>
      </c>
      <c r="G113" s="37">
        <v>30</v>
      </c>
      <c r="H113" s="38">
        <v>5.4298642533936645</v>
      </c>
      <c r="I113" s="37">
        <v>132</v>
      </c>
      <c r="J113" s="39"/>
      <c r="K113" s="39"/>
      <c r="L113" s="1"/>
    </row>
    <row r="114" spans="2:12" x14ac:dyDescent="0.25">
      <c r="B114" s="58" t="s">
        <v>26</v>
      </c>
      <c r="C114" s="74" t="s">
        <v>304</v>
      </c>
      <c r="D114" s="58">
        <v>33</v>
      </c>
      <c r="E114" s="58">
        <v>4</v>
      </c>
      <c r="F114" s="69">
        <v>10.9</v>
      </c>
      <c r="G114" s="58">
        <v>26</v>
      </c>
      <c r="H114" s="60">
        <v>9.5412844036697244</v>
      </c>
      <c r="I114" s="58">
        <v>132</v>
      </c>
      <c r="J114" s="61"/>
      <c r="K114" s="61"/>
      <c r="L114" s="1"/>
    </row>
    <row r="115" spans="2:12" x14ac:dyDescent="0.25">
      <c r="B115" s="58" t="s">
        <v>26</v>
      </c>
      <c r="C115" s="74" t="s">
        <v>304</v>
      </c>
      <c r="D115" s="58">
        <v>33</v>
      </c>
      <c r="E115" s="58">
        <v>4</v>
      </c>
      <c r="F115" s="69">
        <v>10.9</v>
      </c>
      <c r="G115" s="58">
        <v>26</v>
      </c>
      <c r="H115" s="60">
        <v>9.5412844036697244</v>
      </c>
      <c r="I115" s="58">
        <v>132</v>
      </c>
      <c r="J115" s="61"/>
      <c r="K115" s="61"/>
    </row>
    <row r="116" spans="2:12" x14ac:dyDescent="0.25">
      <c r="B116" s="58" t="s">
        <v>55</v>
      </c>
      <c r="C116" s="74" t="s">
        <v>305</v>
      </c>
      <c r="D116" s="58">
        <v>33</v>
      </c>
      <c r="E116" s="58">
        <v>4</v>
      </c>
      <c r="F116" s="69">
        <v>11.4</v>
      </c>
      <c r="G116" s="58">
        <v>26</v>
      </c>
      <c r="H116" s="60">
        <v>9.1228070175438596</v>
      </c>
      <c r="I116" s="58">
        <v>132</v>
      </c>
      <c r="J116" s="61"/>
      <c r="K116" s="61"/>
      <c r="L116" s="1"/>
    </row>
    <row r="117" spans="2:12" x14ac:dyDescent="0.25">
      <c r="B117" s="58" t="s">
        <v>55</v>
      </c>
      <c r="C117" s="74" t="s">
        <v>305</v>
      </c>
      <c r="D117" s="58">
        <v>33</v>
      </c>
      <c r="E117" s="58">
        <v>4</v>
      </c>
      <c r="F117" s="69">
        <v>11.4</v>
      </c>
      <c r="G117" s="58">
        <v>26</v>
      </c>
      <c r="H117" s="60">
        <v>9.1228070175438596</v>
      </c>
      <c r="I117" s="58">
        <v>132</v>
      </c>
      <c r="J117" s="61"/>
      <c r="K117" s="61"/>
    </row>
    <row r="118" spans="2:12" x14ac:dyDescent="0.25">
      <c r="B118" s="58" t="s">
        <v>76</v>
      </c>
      <c r="C118" s="74" t="s">
        <v>96</v>
      </c>
      <c r="D118" s="58">
        <v>33</v>
      </c>
      <c r="E118" s="58">
        <v>4</v>
      </c>
      <c r="F118" s="69">
        <v>13</v>
      </c>
      <c r="G118" s="58">
        <v>26</v>
      </c>
      <c r="H118" s="60">
        <v>8</v>
      </c>
      <c r="I118" s="58">
        <v>132</v>
      </c>
      <c r="J118" s="61"/>
      <c r="K118" s="61"/>
      <c r="L118" s="1"/>
    </row>
    <row r="119" spans="2:12" x14ac:dyDescent="0.25">
      <c r="B119" s="58" t="s">
        <v>76</v>
      </c>
      <c r="C119" s="74" t="s">
        <v>96</v>
      </c>
      <c r="D119" s="58">
        <v>33</v>
      </c>
      <c r="E119" s="58">
        <v>4</v>
      </c>
      <c r="F119" s="69">
        <v>13</v>
      </c>
      <c r="G119" s="58">
        <v>26</v>
      </c>
      <c r="H119" s="60">
        <v>8</v>
      </c>
      <c r="I119" s="58">
        <v>132</v>
      </c>
      <c r="J119" s="61"/>
      <c r="K119" s="61"/>
    </row>
    <row r="120" spans="2:12" x14ac:dyDescent="0.25">
      <c r="B120" s="58" t="s">
        <v>9</v>
      </c>
      <c r="C120" s="73" t="s">
        <v>294</v>
      </c>
      <c r="D120" s="58">
        <v>33</v>
      </c>
      <c r="E120" s="58">
        <v>4</v>
      </c>
      <c r="F120" s="58">
        <v>38.799999999999997</v>
      </c>
      <c r="G120" s="58">
        <v>30</v>
      </c>
      <c r="H120" s="60">
        <v>3.0927835051546393</v>
      </c>
      <c r="I120" s="58">
        <v>132</v>
      </c>
      <c r="J120" s="61"/>
      <c r="K120" s="61"/>
      <c r="L120" s="1"/>
    </row>
    <row r="121" spans="2:12" x14ac:dyDescent="0.25">
      <c r="B121" s="58" t="s">
        <v>9</v>
      </c>
      <c r="C121" s="73" t="s">
        <v>294</v>
      </c>
      <c r="D121" s="58">
        <v>33</v>
      </c>
      <c r="E121" s="58">
        <v>4</v>
      </c>
      <c r="F121" s="58">
        <v>38.799999999999997</v>
      </c>
      <c r="G121" s="58">
        <v>26</v>
      </c>
      <c r="H121" s="60">
        <v>2.6804123711340209</v>
      </c>
      <c r="I121" s="58">
        <v>132</v>
      </c>
      <c r="J121" s="61"/>
      <c r="K121" s="61"/>
    </row>
    <row r="122" spans="2:12" x14ac:dyDescent="0.25">
      <c r="B122" s="58" t="s">
        <v>77</v>
      </c>
      <c r="C122" s="74" t="s">
        <v>272</v>
      </c>
      <c r="D122" s="58">
        <v>33</v>
      </c>
      <c r="E122" s="58">
        <v>4</v>
      </c>
      <c r="F122" s="69">
        <v>15.1</v>
      </c>
      <c r="G122" s="58">
        <v>26</v>
      </c>
      <c r="H122" s="60">
        <v>6.887417218543046</v>
      </c>
      <c r="I122" s="58">
        <v>132</v>
      </c>
      <c r="J122" s="61"/>
      <c r="K122" s="61"/>
      <c r="L122" s="1"/>
    </row>
    <row r="123" spans="2:12" x14ac:dyDescent="0.25">
      <c r="B123" s="58" t="s">
        <v>77</v>
      </c>
      <c r="C123" s="74" t="s">
        <v>272</v>
      </c>
      <c r="D123" s="58">
        <v>33</v>
      </c>
      <c r="E123" s="58">
        <v>4</v>
      </c>
      <c r="F123" s="69">
        <v>15.1</v>
      </c>
      <c r="G123" s="58">
        <v>26</v>
      </c>
      <c r="H123" s="60">
        <v>6.887417218543046</v>
      </c>
      <c r="I123" s="58">
        <v>132</v>
      </c>
      <c r="J123" s="61"/>
      <c r="K123" s="61"/>
    </row>
    <row r="124" spans="2:12" x14ac:dyDescent="0.25">
      <c r="B124" s="62" t="s">
        <v>31</v>
      </c>
      <c r="C124" s="76" t="s">
        <v>285</v>
      </c>
      <c r="D124" s="58">
        <v>33</v>
      </c>
      <c r="E124" s="58">
        <v>4</v>
      </c>
      <c r="F124" s="69">
        <v>16.7</v>
      </c>
      <c r="G124" s="58">
        <v>28</v>
      </c>
      <c r="H124" s="60">
        <v>6.706586826347305</v>
      </c>
      <c r="I124" s="58">
        <v>132</v>
      </c>
      <c r="J124" s="61"/>
      <c r="K124" s="61"/>
    </row>
    <row r="125" spans="2:12" x14ac:dyDescent="0.25">
      <c r="B125" s="62" t="s">
        <v>31</v>
      </c>
      <c r="C125" s="76" t="s">
        <v>285</v>
      </c>
      <c r="D125" s="58">
        <v>33</v>
      </c>
      <c r="E125" s="58">
        <v>4</v>
      </c>
      <c r="F125" s="69">
        <v>16.7</v>
      </c>
      <c r="G125" s="58">
        <v>26</v>
      </c>
      <c r="H125" s="60">
        <v>6.2275449101796401</v>
      </c>
      <c r="I125" s="58">
        <v>132</v>
      </c>
      <c r="J125" s="61"/>
      <c r="K125" s="61"/>
    </row>
    <row r="126" spans="2:12" x14ac:dyDescent="0.25">
      <c r="B126" s="62" t="s">
        <v>44</v>
      </c>
      <c r="C126" s="76" t="s">
        <v>286</v>
      </c>
      <c r="D126" s="37">
        <v>33</v>
      </c>
      <c r="E126" s="37">
        <v>4</v>
      </c>
      <c r="F126" s="69">
        <v>17.7</v>
      </c>
      <c r="G126" s="37">
        <v>28</v>
      </c>
      <c r="H126" s="38">
        <v>6.3276836158192085</v>
      </c>
      <c r="I126" s="37">
        <v>132</v>
      </c>
      <c r="J126" s="39"/>
      <c r="K126" s="39"/>
    </row>
    <row r="127" spans="2:12" x14ac:dyDescent="0.25">
      <c r="B127" s="62" t="s">
        <v>44</v>
      </c>
      <c r="C127" s="76" t="s">
        <v>286</v>
      </c>
      <c r="D127" s="37">
        <v>33</v>
      </c>
      <c r="E127" s="37">
        <v>4</v>
      </c>
      <c r="F127" s="69">
        <v>17.7</v>
      </c>
      <c r="G127" s="37">
        <v>26</v>
      </c>
      <c r="H127" s="38">
        <v>5.8757062146892656</v>
      </c>
      <c r="I127" s="37">
        <v>132</v>
      </c>
      <c r="J127" s="39"/>
      <c r="K127" s="39"/>
    </row>
    <row r="128" spans="2:12" x14ac:dyDescent="0.25">
      <c r="B128" s="62" t="s">
        <v>0</v>
      </c>
      <c r="C128" s="76" t="s">
        <v>98</v>
      </c>
      <c r="D128" s="37">
        <v>33</v>
      </c>
      <c r="E128" s="37">
        <v>4</v>
      </c>
      <c r="F128" s="69">
        <v>11.5</v>
      </c>
      <c r="G128" s="37">
        <v>28</v>
      </c>
      <c r="H128" s="38">
        <v>9.7391304347826093</v>
      </c>
      <c r="I128" s="37">
        <v>132</v>
      </c>
      <c r="J128" s="39"/>
      <c r="K128" s="39"/>
    </row>
    <row r="129" spans="2:12" x14ac:dyDescent="0.25">
      <c r="B129" s="62" t="s">
        <v>0</v>
      </c>
      <c r="C129" s="76" t="s">
        <v>98</v>
      </c>
      <c r="D129" s="37">
        <v>33</v>
      </c>
      <c r="E129" s="37">
        <v>4</v>
      </c>
      <c r="F129" s="69">
        <v>11.5</v>
      </c>
      <c r="G129" s="37">
        <v>26</v>
      </c>
      <c r="H129" s="38">
        <v>9.0434782608695645</v>
      </c>
      <c r="I129" s="37">
        <v>132</v>
      </c>
      <c r="J129" s="39"/>
      <c r="K129" s="39"/>
    </row>
    <row r="130" spans="2:12" x14ac:dyDescent="0.25">
      <c r="B130" s="48" t="s">
        <v>79</v>
      </c>
      <c r="C130" s="56" t="s">
        <v>294</v>
      </c>
      <c r="D130" s="45">
        <v>33</v>
      </c>
      <c r="E130" s="58">
        <v>4</v>
      </c>
      <c r="F130" s="52">
        <v>11.2</v>
      </c>
      <c r="G130" s="58">
        <v>28</v>
      </c>
      <c r="H130" s="46">
        <v>10.000000000000002</v>
      </c>
      <c r="I130" s="45">
        <v>132</v>
      </c>
      <c r="J130" s="61"/>
      <c r="K130" s="61"/>
    </row>
    <row r="131" spans="2:12" x14ac:dyDescent="0.25">
      <c r="B131" s="48" t="s">
        <v>79</v>
      </c>
      <c r="C131" s="56" t="s">
        <v>294</v>
      </c>
      <c r="D131" s="45">
        <v>33</v>
      </c>
      <c r="E131" s="45">
        <v>4</v>
      </c>
      <c r="F131" s="52">
        <v>11.2</v>
      </c>
      <c r="G131" s="45">
        <v>26</v>
      </c>
      <c r="H131" s="46">
        <v>9.2857142857142865</v>
      </c>
      <c r="I131" s="45">
        <v>132</v>
      </c>
      <c r="J131" s="47"/>
      <c r="K131" s="47"/>
    </row>
    <row r="132" spans="2:12" x14ac:dyDescent="0.25">
      <c r="B132" s="58" t="s">
        <v>30</v>
      </c>
      <c r="C132" s="73" t="s">
        <v>295</v>
      </c>
      <c r="D132" s="45">
        <v>33</v>
      </c>
      <c r="E132" s="45">
        <v>4</v>
      </c>
      <c r="F132" s="58">
        <v>28.8</v>
      </c>
      <c r="G132" s="45">
        <v>30</v>
      </c>
      <c r="H132" s="46">
        <v>4.166666666666667</v>
      </c>
      <c r="I132" s="45">
        <v>132</v>
      </c>
      <c r="J132" s="47"/>
      <c r="K132" s="47"/>
      <c r="L132" s="1"/>
    </row>
    <row r="133" spans="2:12" x14ac:dyDescent="0.25">
      <c r="B133" s="58" t="s">
        <v>30</v>
      </c>
      <c r="C133" s="73" t="s">
        <v>295</v>
      </c>
      <c r="D133" s="45">
        <v>33</v>
      </c>
      <c r="E133" s="45">
        <v>4</v>
      </c>
      <c r="F133" s="58">
        <v>28.8</v>
      </c>
      <c r="G133" s="45">
        <v>26</v>
      </c>
      <c r="H133" s="46">
        <v>3.6111111111111112</v>
      </c>
      <c r="I133" s="45">
        <v>132</v>
      </c>
      <c r="J133" s="47"/>
      <c r="K133" s="47"/>
    </row>
    <row r="134" spans="2:12" x14ac:dyDescent="0.25">
      <c r="B134" s="58" t="s">
        <v>24</v>
      </c>
      <c r="C134" s="73" t="s">
        <v>99</v>
      </c>
      <c r="D134" s="45">
        <v>33</v>
      </c>
      <c r="E134" s="45">
        <v>4</v>
      </c>
      <c r="F134" s="58">
        <v>46.6</v>
      </c>
      <c r="G134" s="45">
        <v>30</v>
      </c>
      <c r="H134" s="46">
        <v>2.5751072961373391</v>
      </c>
      <c r="I134" s="45">
        <v>132</v>
      </c>
      <c r="J134" s="47"/>
      <c r="K134" s="47"/>
      <c r="L134" s="1"/>
    </row>
    <row r="135" spans="2:12" x14ac:dyDescent="0.25">
      <c r="B135" s="58" t="s">
        <v>24</v>
      </c>
      <c r="C135" s="73" t="s">
        <v>99</v>
      </c>
      <c r="D135" s="58">
        <v>33</v>
      </c>
      <c r="E135" s="58">
        <v>4</v>
      </c>
      <c r="F135" s="58">
        <v>46.6</v>
      </c>
      <c r="G135" s="58">
        <v>26</v>
      </c>
      <c r="H135" s="60">
        <v>2.2317596566523608</v>
      </c>
      <c r="I135" s="58">
        <v>132</v>
      </c>
      <c r="J135" s="61"/>
      <c r="K135" s="61"/>
    </row>
    <row r="136" spans="2:12" x14ac:dyDescent="0.25">
      <c r="B136" s="58" t="s">
        <v>19</v>
      </c>
      <c r="C136" s="73" t="s">
        <v>101</v>
      </c>
      <c r="D136" s="58">
        <v>33</v>
      </c>
      <c r="E136" s="58">
        <v>4</v>
      </c>
      <c r="F136" s="58">
        <v>35.9</v>
      </c>
      <c r="G136" s="58">
        <v>26</v>
      </c>
      <c r="H136" s="60">
        <v>2.8969359331476321</v>
      </c>
      <c r="I136" s="58">
        <v>132</v>
      </c>
      <c r="J136" s="61"/>
      <c r="K136" s="61"/>
      <c r="L136" s="1"/>
    </row>
    <row r="137" spans="2:12" x14ac:dyDescent="0.25">
      <c r="B137" s="58" t="s">
        <v>19</v>
      </c>
      <c r="C137" s="73" t="s">
        <v>101</v>
      </c>
      <c r="D137" s="58">
        <v>33</v>
      </c>
      <c r="E137" s="58">
        <v>4</v>
      </c>
      <c r="F137" s="58">
        <v>35.9</v>
      </c>
      <c r="G137" s="58">
        <v>26</v>
      </c>
      <c r="H137" s="60">
        <v>2.8969359331476321</v>
      </c>
      <c r="I137" s="58">
        <v>132</v>
      </c>
      <c r="J137" s="61"/>
      <c r="K137" s="61"/>
    </row>
    <row r="138" spans="2:12" x14ac:dyDescent="0.25">
      <c r="B138" s="58" t="s">
        <v>82</v>
      </c>
      <c r="C138" s="73" t="s">
        <v>319</v>
      </c>
      <c r="D138" s="45">
        <v>33</v>
      </c>
      <c r="E138" s="45">
        <v>4</v>
      </c>
      <c r="F138" s="58">
        <v>35.799999999999997</v>
      </c>
      <c r="G138" s="45">
        <v>26</v>
      </c>
      <c r="H138" s="46">
        <v>2.9050279329608943</v>
      </c>
      <c r="I138" s="45">
        <v>132</v>
      </c>
      <c r="J138" s="47"/>
      <c r="K138" s="47"/>
      <c r="L138" s="1"/>
    </row>
    <row r="139" spans="2:12" x14ac:dyDescent="0.25">
      <c r="B139" s="58" t="s">
        <v>82</v>
      </c>
      <c r="C139" s="73" t="s">
        <v>319</v>
      </c>
      <c r="D139" s="58">
        <v>33</v>
      </c>
      <c r="E139" s="58">
        <v>4</v>
      </c>
      <c r="F139" s="58">
        <v>35.799999999999997</v>
      </c>
      <c r="G139" s="58">
        <v>26</v>
      </c>
      <c r="H139" s="60">
        <v>2.9050279329608943</v>
      </c>
      <c r="I139" s="58">
        <v>132</v>
      </c>
      <c r="J139" s="61"/>
      <c r="K139" s="61"/>
    </row>
    <row r="140" spans="2:12" x14ac:dyDescent="0.25">
      <c r="B140" s="63" t="s">
        <v>34</v>
      </c>
      <c r="C140" s="71" t="s">
        <v>320</v>
      </c>
      <c r="D140" s="63">
        <v>33</v>
      </c>
      <c r="E140" s="63">
        <v>4</v>
      </c>
      <c r="F140" s="63">
        <v>32.5</v>
      </c>
      <c r="G140" s="63">
        <v>26</v>
      </c>
      <c r="H140" s="64">
        <v>3.2</v>
      </c>
      <c r="I140" s="63">
        <v>132</v>
      </c>
      <c r="J140" s="67" t="s">
        <v>271</v>
      </c>
      <c r="K140" s="70"/>
      <c r="L140" s="2"/>
    </row>
    <row r="141" spans="2:12" x14ac:dyDescent="0.25">
      <c r="B141" s="63" t="s">
        <v>34</v>
      </c>
      <c r="C141" s="71" t="s">
        <v>320</v>
      </c>
      <c r="D141" s="63">
        <v>33</v>
      </c>
      <c r="E141" s="63">
        <v>4</v>
      </c>
      <c r="F141" s="63">
        <v>32.5</v>
      </c>
      <c r="G141" s="63">
        <v>26</v>
      </c>
      <c r="H141" s="64">
        <v>3.2</v>
      </c>
      <c r="I141" s="63">
        <v>132</v>
      </c>
      <c r="J141" s="67" t="s">
        <v>271</v>
      </c>
      <c r="K141" s="70"/>
    </row>
    <row r="142" spans="2:12" x14ac:dyDescent="0.25">
      <c r="B142" s="58" t="s">
        <v>5</v>
      </c>
      <c r="C142" s="73" t="s">
        <v>321</v>
      </c>
      <c r="D142" s="45">
        <v>33</v>
      </c>
      <c r="E142" s="45">
        <v>4</v>
      </c>
      <c r="F142" s="58">
        <v>51.8</v>
      </c>
      <c r="G142" s="45">
        <v>26</v>
      </c>
      <c r="H142" s="46">
        <v>2.0077220077220077</v>
      </c>
      <c r="I142" s="45">
        <v>132</v>
      </c>
      <c r="J142" s="47"/>
      <c r="K142" s="47"/>
      <c r="L142" s="1"/>
    </row>
    <row r="143" spans="2:12" x14ac:dyDescent="0.25">
      <c r="B143" s="58" t="s">
        <v>5</v>
      </c>
      <c r="C143" s="73" t="s">
        <v>321</v>
      </c>
      <c r="D143" s="45">
        <v>33</v>
      </c>
      <c r="E143" s="45">
        <v>4</v>
      </c>
      <c r="F143" s="58">
        <v>51.8</v>
      </c>
      <c r="G143" s="45">
        <v>26</v>
      </c>
      <c r="H143" s="46">
        <v>2.0077220077220077</v>
      </c>
      <c r="I143" s="45">
        <v>132</v>
      </c>
      <c r="J143" s="47"/>
      <c r="K143" s="47"/>
    </row>
    <row r="144" spans="2:12" x14ac:dyDescent="0.25">
      <c r="B144" s="58" t="s">
        <v>21</v>
      </c>
      <c r="C144" s="73" t="s">
        <v>333</v>
      </c>
      <c r="D144" s="45">
        <v>33</v>
      </c>
      <c r="E144" s="45">
        <v>4</v>
      </c>
      <c r="F144" s="58">
        <v>47.8</v>
      </c>
      <c r="G144" s="45">
        <v>28</v>
      </c>
      <c r="H144" s="46">
        <v>2.3430962343096238</v>
      </c>
      <c r="I144" s="45">
        <v>132</v>
      </c>
      <c r="J144" s="47"/>
      <c r="K144" s="47"/>
    </row>
    <row r="145" spans="2:12" x14ac:dyDescent="0.25">
      <c r="B145" s="58" t="s">
        <v>21</v>
      </c>
      <c r="C145" s="73" t="s">
        <v>333</v>
      </c>
      <c r="D145" s="45">
        <v>33</v>
      </c>
      <c r="E145" s="45">
        <v>4</v>
      </c>
      <c r="F145" s="58">
        <v>47.8</v>
      </c>
      <c r="G145" s="45">
        <v>30</v>
      </c>
      <c r="H145" s="46">
        <v>2.5104602510460254</v>
      </c>
      <c r="I145" s="45">
        <v>132</v>
      </c>
      <c r="J145" s="47"/>
      <c r="K145" s="47"/>
      <c r="L145" s="1"/>
    </row>
    <row r="146" spans="2:12" x14ac:dyDescent="0.25">
      <c r="B146" s="49" t="s">
        <v>88</v>
      </c>
      <c r="C146" s="54" t="s">
        <v>282</v>
      </c>
      <c r="D146" s="49">
        <v>33</v>
      </c>
      <c r="E146" s="49">
        <v>4</v>
      </c>
      <c r="F146" s="72">
        <v>38</v>
      </c>
      <c r="G146" s="49">
        <v>30</v>
      </c>
      <c r="H146" s="50">
        <v>3.1578947368421053</v>
      </c>
      <c r="I146" s="49">
        <v>132</v>
      </c>
      <c r="J146" s="51" t="s">
        <v>277</v>
      </c>
      <c r="K146" s="53"/>
      <c r="L146" s="2"/>
    </row>
    <row r="147" spans="2:12" x14ac:dyDescent="0.25">
      <c r="B147" s="49" t="s">
        <v>88</v>
      </c>
      <c r="C147" s="54" t="s">
        <v>282</v>
      </c>
      <c r="D147" s="49">
        <v>33</v>
      </c>
      <c r="E147" s="49">
        <v>4</v>
      </c>
      <c r="F147" s="72">
        <v>38</v>
      </c>
      <c r="G147" s="49">
        <v>26</v>
      </c>
      <c r="H147" s="50">
        <v>2.736842105263158</v>
      </c>
      <c r="I147" s="49">
        <v>132</v>
      </c>
      <c r="J147" s="51" t="s">
        <v>277</v>
      </c>
      <c r="K147" s="53"/>
    </row>
    <row r="148" spans="2:12" x14ac:dyDescent="0.25">
      <c r="B148" s="49" t="s">
        <v>3</v>
      </c>
      <c r="C148" s="54" t="s">
        <v>330</v>
      </c>
      <c r="D148" s="49">
        <v>33</v>
      </c>
      <c r="E148" s="49">
        <v>4</v>
      </c>
      <c r="F148" s="72">
        <v>38.200000000000003</v>
      </c>
      <c r="G148" s="49">
        <v>28</v>
      </c>
      <c r="H148" s="50">
        <v>2.9319371727748686</v>
      </c>
      <c r="I148" s="49">
        <v>132</v>
      </c>
      <c r="J148" s="51" t="s">
        <v>289</v>
      </c>
      <c r="K148" s="53"/>
    </row>
    <row r="149" spans="2:12" x14ac:dyDescent="0.25">
      <c r="B149" s="63" t="s">
        <v>3</v>
      </c>
      <c r="C149" s="71" t="s">
        <v>330</v>
      </c>
      <c r="D149" s="63">
        <v>33</v>
      </c>
      <c r="E149" s="63">
        <v>4</v>
      </c>
      <c r="F149" s="72">
        <v>38.200000000000003</v>
      </c>
      <c r="G149" s="63">
        <v>30</v>
      </c>
      <c r="H149" s="64">
        <v>3.1413612565445024</v>
      </c>
      <c r="I149" s="63">
        <v>132</v>
      </c>
      <c r="J149" s="67" t="s">
        <v>289</v>
      </c>
      <c r="K149" s="70"/>
      <c r="L149" s="2"/>
    </row>
    <row r="150" spans="2:12" x14ac:dyDescent="0.25">
      <c r="B150" s="49" t="s">
        <v>46</v>
      </c>
      <c r="C150" s="54" t="s">
        <v>331</v>
      </c>
      <c r="D150" s="49">
        <v>33</v>
      </c>
      <c r="E150" s="49">
        <v>4</v>
      </c>
      <c r="F150" s="55">
        <v>52.333333333333336</v>
      </c>
      <c r="G150" s="49">
        <v>28</v>
      </c>
      <c r="H150" s="50">
        <v>2.1401273885350318</v>
      </c>
      <c r="I150" s="49">
        <v>132</v>
      </c>
      <c r="J150" s="51" t="s">
        <v>277</v>
      </c>
      <c r="K150" s="53"/>
    </row>
    <row r="151" spans="2:12" x14ac:dyDescent="0.25">
      <c r="B151" s="49" t="s">
        <v>46</v>
      </c>
      <c r="C151" s="54" t="s">
        <v>331</v>
      </c>
      <c r="D151" s="49">
        <v>33</v>
      </c>
      <c r="E151" s="49">
        <v>4</v>
      </c>
      <c r="F151" s="72">
        <v>52.333333333333336</v>
      </c>
      <c r="G151" s="49">
        <v>30</v>
      </c>
      <c r="H151" s="50">
        <v>2.2929936305732483</v>
      </c>
      <c r="I151" s="49">
        <v>132</v>
      </c>
      <c r="J151" s="51" t="s">
        <v>277</v>
      </c>
      <c r="K151" s="53"/>
      <c r="L151" s="2"/>
    </row>
    <row r="152" spans="2:12" x14ac:dyDescent="0.25">
      <c r="B152" s="49" t="s">
        <v>11</v>
      </c>
      <c r="C152" s="54" t="s">
        <v>332</v>
      </c>
      <c r="D152" s="49">
        <v>33</v>
      </c>
      <c r="E152" s="49">
        <v>4</v>
      </c>
      <c r="F152" s="72">
        <v>43.8</v>
      </c>
      <c r="G152" s="49">
        <v>28</v>
      </c>
      <c r="H152" s="50">
        <v>2.5570776255707766</v>
      </c>
      <c r="I152" s="49">
        <v>132</v>
      </c>
      <c r="J152" s="51" t="s">
        <v>289</v>
      </c>
      <c r="K152" s="53"/>
    </row>
    <row r="153" spans="2:12" x14ac:dyDescent="0.25">
      <c r="B153" s="49" t="s">
        <v>11</v>
      </c>
      <c r="C153" s="54" t="s">
        <v>332</v>
      </c>
      <c r="D153" s="49">
        <v>33</v>
      </c>
      <c r="E153" s="49">
        <v>4</v>
      </c>
      <c r="F153" s="49">
        <v>43.8</v>
      </c>
      <c r="G153" s="49">
        <v>30</v>
      </c>
      <c r="H153" s="50">
        <v>2.7397260273972606</v>
      </c>
      <c r="I153" s="49">
        <v>132</v>
      </c>
      <c r="J153" s="51" t="s">
        <v>289</v>
      </c>
      <c r="K153" s="53"/>
      <c r="L153" s="2"/>
    </row>
    <row r="154" spans="2:12" x14ac:dyDescent="0.25">
      <c r="B154" s="65" t="s">
        <v>52</v>
      </c>
      <c r="C154" s="66" t="s">
        <v>97</v>
      </c>
      <c r="D154" s="49">
        <v>33</v>
      </c>
      <c r="E154" s="49">
        <v>4</v>
      </c>
      <c r="F154" s="49">
        <v>28.65</v>
      </c>
      <c r="G154" s="49">
        <v>30</v>
      </c>
      <c r="H154" s="50">
        <v>4.1884816753926701</v>
      </c>
      <c r="I154" s="49">
        <v>132</v>
      </c>
      <c r="J154" s="51" t="s">
        <v>271</v>
      </c>
      <c r="K154" s="53"/>
      <c r="L154" s="2"/>
    </row>
    <row r="155" spans="2:12" x14ac:dyDescent="0.25">
      <c r="B155" s="65" t="s">
        <v>52</v>
      </c>
      <c r="C155" s="66" t="s">
        <v>97</v>
      </c>
      <c r="D155" s="49">
        <v>33</v>
      </c>
      <c r="E155" s="49">
        <v>4</v>
      </c>
      <c r="F155" s="49">
        <v>28.65</v>
      </c>
      <c r="G155" s="49">
        <v>30</v>
      </c>
      <c r="H155" s="50">
        <v>4.1884816753926701</v>
      </c>
      <c r="I155" s="49">
        <v>132</v>
      </c>
      <c r="J155" s="51" t="s">
        <v>271</v>
      </c>
      <c r="K155" s="53"/>
      <c r="L155" s="2"/>
    </row>
    <row r="156" spans="2:12" x14ac:dyDescent="0.25">
      <c r="B156" s="62" t="s">
        <v>1</v>
      </c>
      <c r="C156" s="68" t="s">
        <v>280</v>
      </c>
      <c r="D156" s="58">
        <v>33</v>
      </c>
      <c r="E156" s="58">
        <v>4</v>
      </c>
      <c r="F156" s="69">
        <v>38.700000000000003</v>
      </c>
      <c r="G156" s="58">
        <v>30</v>
      </c>
      <c r="H156" s="60">
        <v>3.1007751937984493</v>
      </c>
      <c r="I156" s="58">
        <v>132</v>
      </c>
      <c r="J156" s="61"/>
      <c r="K156" s="61"/>
      <c r="L156" s="1"/>
    </row>
    <row r="157" spans="2:12" x14ac:dyDescent="0.25">
      <c r="B157" s="62" t="s">
        <v>1</v>
      </c>
      <c r="C157" s="68" t="s">
        <v>280</v>
      </c>
      <c r="D157" s="58">
        <v>33</v>
      </c>
      <c r="E157" s="58">
        <v>4</v>
      </c>
      <c r="F157" s="69">
        <v>38.700000000000003</v>
      </c>
      <c r="G157" s="58">
        <v>30</v>
      </c>
      <c r="H157" s="60">
        <v>3.1007751937984493</v>
      </c>
      <c r="I157" s="58">
        <v>132</v>
      </c>
      <c r="J157" s="61"/>
      <c r="K157" s="61"/>
      <c r="L157" s="1"/>
    </row>
    <row r="158" spans="2:12" x14ac:dyDescent="0.25">
      <c r="B158" s="62" t="s">
        <v>57</v>
      </c>
      <c r="C158" s="68" t="s">
        <v>281</v>
      </c>
      <c r="D158" s="45">
        <v>33</v>
      </c>
      <c r="E158" s="45">
        <v>4</v>
      </c>
      <c r="F158" s="69">
        <v>30.9</v>
      </c>
      <c r="G158" s="45">
        <v>30</v>
      </c>
      <c r="H158" s="46">
        <v>3.883495145631068</v>
      </c>
      <c r="I158" s="45">
        <v>132</v>
      </c>
      <c r="J158" s="47"/>
      <c r="K158" s="47"/>
      <c r="L158" s="1"/>
    </row>
    <row r="159" spans="2:12" x14ac:dyDescent="0.25">
      <c r="B159" s="62" t="s">
        <v>57</v>
      </c>
      <c r="C159" s="68" t="s">
        <v>281</v>
      </c>
      <c r="D159" s="45">
        <v>33</v>
      </c>
      <c r="E159" s="45">
        <v>4</v>
      </c>
      <c r="F159" s="69">
        <v>30.9</v>
      </c>
      <c r="G159" s="45">
        <v>30</v>
      </c>
      <c r="H159" s="46">
        <v>3.883495145631068</v>
      </c>
      <c r="I159" s="45">
        <v>132</v>
      </c>
      <c r="J159" s="47"/>
      <c r="K159" s="47"/>
      <c r="L159" s="1"/>
    </row>
    <row r="160" spans="2:12" x14ac:dyDescent="0.25">
      <c r="B160" s="62" t="s">
        <v>61</v>
      </c>
      <c r="C160" s="68" t="s">
        <v>282</v>
      </c>
      <c r="D160" s="58">
        <v>33</v>
      </c>
      <c r="E160" s="58">
        <v>4</v>
      </c>
      <c r="F160" s="69">
        <v>35.799999999999997</v>
      </c>
      <c r="G160" s="58">
        <v>30</v>
      </c>
      <c r="H160" s="60">
        <v>3.3519553072625703</v>
      </c>
      <c r="I160" s="58">
        <v>132</v>
      </c>
      <c r="J160" s="61"/>
      <c r="K160" s="61"/>
      <c r="L160" s="1"/>
    </row>
    <row r="161" spans="2:12" x14ac:dyDescent="0.25">
      <c r="B161" s="62" t="s">
        <v>61</v>
      </c>
      <c r="C161" s="68" t="s">
        <v>282</v>
      </c>
      <c r="D161" s="45">
        <v>33</v>
      </c>
      <c r="E161" s="45">
        <v>4</v>
      </c>
      <c r="F161" s="69">
        <v>35.799999999999997</v>
      </c>
      <c r="G161" s="45">
        <v>30</v>
      </c>
      <c r="H161" s="46">
        <v>3.3519553072625703</v>
      </c>
      <c r="I161" s="45">
        <v>132</v>
      </c>
      <c r="J161" s="47"/>
      <c r="K161" s="47"/>
      <c r="L161" s="1"/>
    </row>
    <row r="162" spans="2:12" x14ac:dyDescent="0.25">
      <c r="B162" s="58" t="s">
        <v>41</v>
      </c>
      <c r="C162" s="74" t="s">
        <v>99</v>
      </c>
      <c r="D162" s="58">
        <v>33</v>
      </c>
      <c r="E162" s="58">
        <v>4</v>
      </c>
      <c r="F162" s="69">
        <v>41.7</v>
      </c>
      <c r="G162" s="58">
        <v>26</v>
      </c>
      <c r="H162" s="60">
        <v>2.4940047961630691</v>
      </c>
      <c r="I162" s="58">
        <v>132</v>
      </c>
      <c r="J162" s="61"/>
      <c r="K162" s="61"/>
      <c r="L162" s="61"/>
    </row>
    <row r="163" spans="2:12" x14ac:dyDescent="0.25">
      <c r="B163" s="58" t="s">
        <v>41</v>
      </c>
      <c r="C163" s="74" t="s">
        <v>99</v>
      </c>
      <c r="D163" s="58">
        <v>33</v>
      </c>
      <c r="E163" s="58">
        <v>4</v>
      </c>
      <c r="F163" s="69">
        <v>41.7</v>
      </c>
      <c r="G163" s="58">
        <v>26</v>
      </c>
      <c r="H163" s="60">
        <v>2.4940047961630691</v>
      </c>
      <c r="I163" s="58">
        <v>132</v>
      </c>
      <c r="J163" s="61"/>
      <c r="K163" s="61"/>
      <c r="L163" s="61"/>
    </row>
    <row r="164" spans="2:12" x14ac:dyDescent="0.25">
      <c r="B164" s="63" t="s">
        <v>74</v>
      </c>
      <c r="C164" s="75" t="s">
        <v>301</v>
      </c>
      <c r="D164" s="63">
        <v>33</v>
      </c>
      <c r="E164" s="63">
        <v>4</v>
      </c>
      <c r="F164" s="63">
        <v>28.05</v>
      </c>
      <c r="G164" s="63">
        <v>26</v>
      </c>
      <c r="H164" s="64">
        <v>3.7076648841354727</v>
      </c>
      <c r="I164" s="63">
        <v>132</v>
      </c>
      <c r="J164" s="67" t="s">
        <v>271</v>
      </c>
      <c r="K164" s="70"/>
      <c r="L164" s="70"/>
    </row>
    <row r="165" spans="2:12" x14ac:dyDescent="0.25">
      <c r="B165" s="63" t="s">
        <v>74</v>
      </c>
      <c r="C165" s="75" t="s">
        <v>301</v>
      </c>
      <c r="D165" s="63">
        <v>33</v>
      </c>
      <c r="E165" s="63">
        <v>4</v>
      </c>
      <c r="F165" s="63">
        <v>28.05</v>
      </c>
      <c r="G165" s="63">
        <v>26</v>
      </c>
      <c r="H165" s="64">
        <v>3.7076648841354727</v>
      </c>
      <c r="I165" s="63">
        <v>132</v>
      </c>
      <c r="J165" s="67" t="s">
        <v>271</v>
      </c>
      <c r="K165" s="70"/>
      <c r="L165" s="61"/>
    </row>
    <row r="166" spans="2:12" x14ac:dyDescent="0.25">
      <c r="B166" s="58" t="s">
        <v>38</v>
      </c>
      <c r="C166" s="74" t="s">
        <v>302</v>
      </c>
      <c r="D166" s="58">
        <v>33</v>
      </c>
      <c r="E166" s="58">
        <v>4</v>
      </c>
      <c r="F166" s="69">
        <v>41.3</v>
      </c>
      <c r="G166" s="58">
        <v>26</v>
      </c>
      <c r="H166" s="60">
        <v>2.5181598062953996</v>
      </c>
      <c r="I166" s="58">
        <v>132</v>
      </c>
      <c r="J166" s="61"/>
      <c r="K166" s="61"/>
      <c r="L166" s="61"/>
    </row>
    <row r="167" spans="2:12" x14ac:dyDescent="0.25">
      <c r="B167" s="58" t="s">
        <v>38</v>
      </c>
      <c r="C167" s="74" t="s">
        <v>302</v>
      </c>
      <c r="D167" s="58">
        <v>33</v>
      </c>
      <c r="E167" s="58">
        <v>4</v>
      </c>
      <c r="F167" s="69">
        <v>41.3</v>
      </c>
      <c r="G167" s="58">
        <v>26</v>
      </c>
      <c r="H167" s="60">
        <v>2.5181598062953996</v>
      </c>
      <c r="I167" s="58">
        <v>132</v>
      </c>
      <c r="J167" s="61"/>
      <c r="K167" s="61"/>
      <c r="L167" s="61"/>
    </row>
    <row r="168" spans="2:12" x14ac:dyDescent="0.25">
      <c r="B168" s="63" t="s">
        <v>66</v>
      </c>
      <c r="C168" s="71" t="s">
        <v>283</v>
      </c>
      <c r="D168" s="63">
        <v>33</v>
      </c>
      <c r="E168" s="63">
        <v>4</v>
      </c>
      <c r="F168" s="72">
        <v>43.75</v>
      </c>
      <c r="G168" s="63">
        <v>30</v>
      </c>
      <c r="H168" s="64">
        <v>2.7428571428571429</v>
      </c>
      <c r="I168" s="63">
        <v>132</v>
      </c>
      <c r="J168" s="67" t="s">
        <v>293</v>
      </c>
      <c r="K168" s="70"/>
      <c r="L168" s="70"/>
    </row>
    <row r="169" spans="2:12" x14ac:dyDescent="0.25">
      <c r="B169" s="63" t="s">
        <v>66</v>
      </c>
      <c r="C169" s="71" t="s">
        <v>283</v>
      </c>
      <c r="D169" s="63">
        <v>33</v>
      </c>
      <c r="E169" s="63">
        <v>4</v>
      </c>
      <c r="F169" s="72">
        <v>43.75</v>
      </c>
      <c r="G169" s="63">
        <v>26</v>
      </c>
      <c r="H169" s="64">
        <v>2.3771428571428572</v>
      </c>
      <c r="I169" s="63">
        <v>132</v>
      </c>
      <c r="J169" s="67" t="s">
        <v>293</v>
      </c>
      <c r="K169" s="70"/>
      <c r="L169" s="61"/>
    </row>
    <row r="170" spans="2:12" x14ac:dyDescent="0.25">
      <c r="B170" s="58" t="s">
        <v>16</v>
      </c>
      <c r="C170" s="74" t="s">
        <v>303</v>
      </c>
      <c r="D170" s="58">
        <v>33</v>
      </c>
      <c r="E170" s="58">
        <v>4</v>
      </c>
      <c r="F170" s="69">
        <v>48.7</v>
      </c>
      <c r="G170" s="58">
        <v>26</v>
      </c>
      <c r="H170" s="60">
        <v>2.1355236139630387</v>
      </c>
      <c r="I170" s="58">
        <v>132</v>
      </c>
      <c r="J170" s="61"/>
      <c r="K170" s="61"/>
      <c r="L170" s="61"/>
    </row>
    <row r="171" spans="2:12" x14ac:dyDescent="0.25">
      <c r="B171" s="58" t="s">
        <v>16</v>
      </c>
      <c r="C171" s="74" t="s">
        <v>303</v>
      </c>
      <c r="D171" s="58">
        <v>33</v>
      </c>
      <c r="E171" s="58">
        <v>4</v>
      </c>
      <c r="F171" s="69">
        <v>48.7</v>
      </c>
      <c r="G171" s="58">
        <v>26</v>
      </c>
      <c r="H171" s="60">
        <v>2.1355236139630387</v>
      </c>
      <c r="I171" s="58">
        <v>132</v>
      </c>
      <c r="J171" s="61"/>
      <c r="K171" s="61"/>
      <c r="L171" s="61"/>
    </row>
    <row r="172" spans="2:12" x14ac:dyDescent="0.25">
      <c r="B172" s="62" t="s">
        <v>27</v>
      </c>
      <c r="C172" s="76" t="s">
        <v>281</v>
      </c>
      <c r="D172" s="58">
        <v>33</v>
      </c>
      <c r="E172" s="58">
        <v>4</v>
      </c>
      <c r="F172" s="69">
        <v>27.9</v>
      </c>
      <c r="G172" s="58">
        <v>28</v>
      </c>
      <c r="H172" s="60">
        <v>4.0143369175627246</v>
      </c>
      <c r="I172" s="58">
        <v>132</v>
      </c>
      <c r="J172" s="61"/>
      <c r="K172" s="61"/>
      <c r="L172" s="61"/>
    </row>
    <row r="173" spans="2:12" x14ac:dyDescent="0.25">
      <c r="B173" s="62" t="s">
        <v>27</v>
      </c>
      <c r="C173" s="76" t="s">
        <v>281</v>
      </c>
      <c r="D173" s="58">
        <v>33</v>
      </c>
      <c r="E173" s="58">
        <v>4</v>
      </c>
      <c r="F173" s="69">
        <v>27.9</v>
      </c>
      <c r="G173" s="58">
        <v>26</v>
      </c>
      <c r="H173" s="60">
        <v>3.7275985663082438</v>
      </c>
      <c r="I173" s="58">
        <v>132</v>
      </c>
      <c r="J173" s="61"/>
      <c r="K173" s="61"/>
      <c r="L173" s="61"/>
    </row>
    <row r="174" spans="2:12" x14ac:dyDescent="0.25">
      <c r="B174" s="65" t="s">
        <v>80</v>
      </c>
      <c r="C174" s="77" t="s">
        <v>282</v>
      </c>
      <c r="D174" s="63">
        <v>33</v>
      </c>
      <c r="E174" s="63">
        <v>4</v>
      </c>
      <c r="F174" s="63">
        <v>30.5</v>
      </c>
      <c r="G174" s="63">
        <v>28</v>
      </c>
      <c r="H174" s="64">
        <v>3.6721311475409837</v>
      </c>
      <c r="I174" s="63">
        <v>132</v>
      </c>
      <c r="J174" s="67" t="s">
        <v>271</v>
      </c>
      <c r="K174" s="70"/>
      <c r="L174" s="61"/>
    </row>
    <row r="175" spans="2:12" x14ac:dyDescent="0.25">
      <c r="B175" s="65" t="s">
        <v>80</v>
      </c>
      <c r="C175" s="77" t="s">
        <v>282</v>
      </c>
      <c r="D175" s="63">
        <v>33</v>
      </c>
      <c r="E175" s="63">
        <v>4</v>
      </c>
      <c r="F175" s="63">
        <v>30.5</v>
      </c>
      <c r="G175" s="63">
        <v>26</v>
      </c>
      <c r="H175" s="64">
        <v>3.4098360655737703</v>
      </c>
      <c r="I175" s="63">
        <v>132</v>
      </c>
      <c r="J175" s="67" t="s">
        <v>271</v>
      </c>
      <c r="K175" s="70"/>
      <c r="L175" s="61"/>
    </row>
    <row r="176" spans="2:12" x14ac:dyDescent="0.25">
      <c r="B176" s="62" t="s">
        <v>20</v>
      </c>
      <c r="C176" s="76" t="s">
        <v>283</v>
      </c>
      <c r="D176" s="58">
        <v>33</v>
      </c>
      <c r="E176" s="58">
        <v>4</v>
      </c>
      <c r="F176" s="69">
        <v>39.799999999999997</v>
      </c>
      <c r="G176" s="58">
        <v>28</v>
      </c>
      <c r="H176" s="60">
        <v>2.8140703517587942</v>
      </c>
      <c r="I176" s="58">
        <v>132</v>
      </c>
      <c r="J176" s="61"/>
      <c r="K176" s="61"/>
      <c r="L176" s="61"/>
    </row>
    <row r="177" spans="2:12" x14ac:dyDescent="0.25">
      <c r="B177" s="62" t="s">
        <v>20</v>
      </c>
      <c r="C177" s="76" t="s">
        <v>283</v>
      </c>
      <c r="D177" s="58">
        <v>33</v>
      </c>
      <c r="E177" s="58">
        <v>4</v>
      </c>
      <c r="F177" s="69">
        <v>39.799999999999997</v>
      </c>
      <c r="G177" s="58">
        <v>26</v>
      </c>
      <c r="H177" s="60">
        <v>2.613065326633166</v>
      </c>
      <c r="I177" s="58">
        <v>132</v>
      </c>
      <c r="J177" s="61"/>
      <c r="K177" s="61"/>
      <c r="L177" s="61"/>
    </row>
    <row r="178" spans="2:12" x14ac:dyDescent="0.25">
      <c r="B178" s="62" t="s">
        <v>81</v>
      </c>
      <c r="C178" s="76" t="s">
        <v>284</v>
      </c>
      <c r="D178" s="58">
        <v>33</v>
      </c>
      <c r="E178" s="58">
        <v>4</v>
      </c>
      <c r="F178" s="69">
        <v>52.2</v>
      </c>
      <c r="G178" s="58">
        <v>28</v>
      </c>
      <c r="H178" s="60">
        <v>2.1455938697318007</v>
      </c>
      <c r="I178" s="58">
        <v>132</v>
      </c>
      <c r="J178" s="61"/>
      <c r="K178" s="61"/>
      <c r="L178" s="61"/>
    </row>
    <row r="179" spans="2:12" x14ac:dyDescent="0.25">
      <c r="B179" s="62" t="s">
        <v>81</v>
      </c>
      <c r="C179" s="76" t="s">
        <v>284</v>
      </c>
      <c r="D179" s="58">
        <v>33</v>
      </c>
      <c r="E179" s="58">
        <v>4</v>
      </c>
      <c r="F179" s="69">
        <v>52.2</v>
      </c>
      <c r="G179" s="58">
        <v>26</v>
      </c>
      <c r="H179" s="60">
        <v>1.9923371647509578</v>
      </c>
      <c r="I179" s="58">
        <v>132</v>
      </c>
      <c r="J179" s="61"/>
      <c r="K179" s="61"/>
      <c r="L179" s="61"/>
    </row>
    <row r="180" spans="2:12" x14ac:dyDescent="0.25">
      <c r="B180" s="63" t="s">
        <v>63</v>
      </c>
      <c r="C180" s="71" t="s">
        <v>285</v>
      </c>
      <c r="D180" s="63">
        <v>33</v>
      </c>
      <c r="E180" s="63">
        <v>4</v>
      </c>
      <c r="F180" s="72">
        <v>44</v>
      </c>
      <c r="G180" s="63">
        <v>30</v>
      </c>
      <c r="H180" s="64">
        <v>2.7272727272727271</v>
      </c>
      <c r="I180" s="63">
        <v>132</v>
      </c>
      <c r="J180" s="67" t="s">
        <v>293</v>
      </c>
      <c r="K180" s="70"/>
      <c r="L180" s="70"/>
    </row>
    <row r="181" spans="2:12" x14ac:dyDescent="0.25">
      <c r="B181" s="63" t="s">
        <v>63</v>
      </c>
      <c r="C181" s="71" t="s">
        <v>285</v>
      </c>
      <c r="D181" s="63">
        <v>33</v>
      </c>
      <c r="E181" s="63">
        <v>4</v>
      </c>
      <c r="F181" s="72">
        <v>44</v>
      </c>
      <c r="G181" s="63">
        <v>26</v>
      </c>
      <c r="H181" s="64">
        <v>2.3636363636363638</v>
      </c>
      <c r="I181" s="63">
        <v>132</v>
      </c>
      <c r="J181" s="67" t="s">
        <v>293</v>
      </c>
      <c r="K181" s="70"/>
      <c r="L181" s="61"/>
    </row>
    <row r="182" spans="2:12" x14ac:dyDescent="0.25">
      <c r="B182" s="63" t="s">
        <v>8</v>
      </c>
      <c r="C182" s="71" t="s">
        <v>286</v>
      </c>
      <c r="D182" s="63">
        <v>33</v>
      </c>
      <c r="E182" s="63">
        <v>4</v>
      </c>
      <c r="F182" s="72">
        <v>49.666666666666664</v>
      </c>
      <c r="G182" s="63">
        <v>30</v>
      </c>
      <c r="H182" s="64">
        <v>2.4161073825503356</v>
      </c>
      <c r="I182" s="63">
        <v>132</v>
      </c>
      <c r="J182" s="67" t="s">
        <v>277</v>
      </c>
      <c r="K182" s="70"/>
      <c r="L182" s="70"/>
    </row>
    <row r="183" spans="2:12" x14ac:dyDescent="0.25">
      <c r="B183" s="63" t="s">
        <v>8</v>
      </c>
      <c r="C183" s="71" t="s">
        <v>286</v>
      </c>
      <c r="D183" s="63">
        <v>33</v>
      </c>
      <c r="E183" s="63">
        <v>4</v>
      </c>
      <c r="F183" s="72">
        <v>49.666666666666664</v>
      </c>
      <c r="G183" s="63">
        <v>26</v>
      </c>
      <c r="H183" s="64">
        <v>2.0939597315436242</v>
      </c>
      <c r="I183" s="63">
        <v>132</v>
      </c>
      <c r="J183" s="67" t="s">
        <v>277</v>
      </c>
      <c r="K183" s="70"/>
      <c r="L183" s="61"/>
    </row>
    <row r="184" spans="2:12" x14ac:dyDescent="0.25">
      <c r="B184" s="63" t="s">
        <v>78</v>
      </c>
      <c r="C184" s="71" t="s">
        <v>315</v>
      </c>
      <c r="D184" s="63">
        <v>33</v>
      </c>
      <c r="E184" s="63">
        <v>4</v>
      </c>
      <c r="F184" s="63">
        <v>24.2</v>
      </c>
      <c r="G184" s="63">
        <v>26</v>
      </c>
      <c r="H184" s="64">
        <v>4.2975206611570247</v>
      </c>
      <c r="I184" s="63">
        <v>132</v>
      </c>
      <c r="J184" s="67" t="s">
        <v>289</v>
      </c>
      <c r="K184" s="70"/>
      <c r="L184" s="70"/>
    </row>
    <row r="185" spans="2:12" x14ac:dyDescent="0.25">
      <c r="B185" s="63" t="s">
        <v>78</v>
      </c>
      <c r="C185" s="71" t="s">
        <v>315</v>
      </c>
      <c r="D185" s="63">
        <v>33</v>
      </c>
      <c r="E185" s="63">
        <v>4</v>
      </c>
      <c r="F185" s="63">
        <v>24.2</v>
      </c>
      <c r="G185" s="63">
        <v>26</v>
      </c>
      <c r="H185" s="64">
        <v>4.2975206611570247</v>
      </c>
      <c r="I185" s="63">
        <v>132</v>
      </c>
      <c r="J185" s="67" t="s">
        <v>289</v>
      </c>
      <c r="K185" s="70"/>
      <c r="L185" s="61"/>
    </row>
    <row r="186" spans="2:12" x14ac:dyDescent="0.25">
      <c r="B186" s="63" t="s">
        <v>7</v>
      </c>
      <c r="C186" s="71" t="s">
        <v>316</v>
      </c>
      <c r="D186" s="63">
        <v>33</v>
      </c>
      <c r="E186" s="63">
        <v>4</v>
      </c>
      <c r="F186" s="63">
        <v>40.6</v>
      </c>
      <c r="G186" s="63">
        <v>26</v>
      </c>
      <c r="H186" s="64">
        <v>2.5615763546798029</v>
      </c>
      <c r="I186" s="63">
        <v>132</v>
      </c>
      <c r="J186" s="67" t="s">
        <v>289</v>
      </c>
      <c r="K186" s="70"/>
      <c r="L186" s="70"/>
    </row>
    <row r="187" spans="2:12" x14ac:dyDescent="0.25">
      <c r="B187" s="63" t="s">
        <v>7</v>
      </c>
      <c r="C187" s="71" t="s">
        <v>316</v>
      </c>
      <c r="D187" s="63">
        <v>33</v>
      </c>
      <c r="E187" s="63">
        <v>4</v>
      </c>
      <c r="F187" s="63">
        <v>40.6</v>
      </c>
      <c r="G187" s="63">
        <v>26</v>
      </c>
      <c r="H187" s="64">
        <v>2.5615763546798029</v>
      </c>
      <c r="I187" s="63">
        <v>132</v>
      </c>
      <c r="J187" s="67" t="s">
        <v>289</v>
      </c>
      <c r="K187" s="70"/>
      <c r="L187" s="61"/>
    </row>
    <row r="188" spans="2:12" x14ac:dyDescent="0.25">
      <c r="B188" s="63" t="s">
        <v>35</v>
      </c>
      <c r="C188" s="71" t="s">
        <v>317</v>
      </c>
      <c r="D188" s="63">
        <v>33</v>
      </c>
      <c r="E188" s="63">
        <v>4</v>
      </c>
      <c r="F188" s="63">
        <v>37.200000000000003</v>
      </c>
      <c r="G188" s="63">
        <v>26</v>
      </c>
      <c r="H188" s="64">
        <v>2.7956989247311825</v>
      </c>
      <c r="I188" s="63">
        <v>132</v>
      </c>
      <c r="J188" s="67" t="s">
        <v>289</v>
      </c>
      <c r="K188" s="70"/>
      <c r="L188" s="70"/>
    </row>
    <row r="189" spans="2:12" x14ac:dyDescent="0.25">
      <c r="B189" s="63" t="s">
        <v>35</v>
      </c>
      <c r="C189" s="71" t="s">
        <v>317</v>
      </c>
      <c r="D189" s="63">
        <v>33</v>
      </c>
      <c r="E189" s="63">
        <v>4</v>
      </c>
      <c r="F189" s="63">
        <v>37.200000000000003</v>
      </c>
      <c r="G189" s="63">
        <v>26</v>
      </c>
      <c r="H189" s="64">
        <v>2.7956989247311825</v>
      </c>
      <c r="I189" s="63">
        <v>132</v>
      </c>
      <c r="J189" s="67" t="s">
        <v>289</v>
      </c>
      <c r="K189" s="70"/>
      <c r="L189" s="61"/>
    </row>
    <row r="190" spans="2:12" x14ac:dyDescent="0.25">
      <c r="B190" s="63" t="s">
        <v>60</v>
      </c>
      <c r="C190" s="71" t="s">
        <v>318</v>
      </c>
      <c r="D190" s="63">
        <v>33</v>
      </c>
      <c r="E190" s="63">
        <v>4</v>
      </c>
      <c r="F190" s="63">
        <v>31.4</v>
      </c>
      <c r="G190" s="63">
        <v>26</v>
      </c>
      <c r="H190" s="64">
        <v>3.3121019108280252</v>
      </c>
      <c r="I190" s="63">
        <v>132</v>
      </c>
      <c r="J190" s="67" t="s">
        <v>289</v>
      </c>
      <c r="K190" s="70"/>
      <c r="L190" s="70"/>
    </row>
    <row r="191" spans="2:12" x14ac:dyDescent="0.25">
      <c r="B191" s="63" t="s">
        <v>60</v>
      </c>
      <c r="C191" s="71" t="s">
        <v>318</v>
      </c>
      <c r="D191" s="63">
        <v>33</v>
      </c>
      <c r="E191" s="63">
        <v>4</v>
      </c>
      <c r="F191" s="63">
        <v>31.4</v>
      </c>
      <c r="G191" s="63">
        <v>26</v>
      </c>
      <c r="H191" s="64">
        <v>3.3121019108280252</v>
      </c>
      <c r="I191" s="63">
        <v>132</v>
      </c>
      <c r="J191" s="67" t="s">
        <v>289</v>
      </c>
      <c r="K191" s="70"/>
      <c r="L191" s="61"/>
    </row>
    <row r="192" spans="2:12" x14ac:dyDescent="0.25">
      <c r="B192" s="63" t="s">
        <v>72</v>
      </c>
      <c r="C192" s="71" t="s">
        <v>329</v>
      </c>
      <c r="D192" s="63">
        <v>33</v>
      </c>
      <c r="E192" s="63">
        <v>4</v>
      </c>
      <c r="F192" s="72">
        <v>52.333333333333336</v>
      </c>
      <c r="G192" s="63">
        <v>28</v>
      </c>
      <c r="H192" s="64">
        <v>2.1401273885350318</v>
      </c>
      <c r="I192" s="63">
        <v>132</v>
      </c>
      <c r="J192" s="67" t="s">
        <v>277</v>
      </c>
      <c r="K192" s="70"/>
      <c r="L192" s="61"/>
    </row>
    <row r="193" spans="2:12" x14ac:dyDescent="0.25">
      <c r="B193" s="63" t="s">
        <v>72</v>
      </c>
      <c r="C193" s="71" t="s">
        <v>329</v>
      </c>
      <c r="D193" s="63">
        <v>33</v>
      </c>
      <c r="E193" s="63">
        <v>4</v>
      </c>
      <c r="F193" s="72">
        <v>52.333333333333336</v>
      </c>
      <c r="G193" s="63">
        <v>30</v>
      </c>
      <c r="H193" s="64">
        <v>2.2929936305732483</v>
      </c>
      <c r="I193" s="63">
        <v>132</v>
      </c>
      <c r="J193" s="67" t="s">
        <v>277</v>
      </c>
      <c r="K193" s="70"/>
      <c r="L193" s="70"/>
    </row>
  </sheetData>
  <sortState xmlns:xlrd2="http://schemas.microsoft.com/office/spreadsheetml/2017/richdata2" ref="B2:L193">
    <sortCondition ref="B2:B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doster</dc:creator>
  <cp:lastModifiedBy>enrique doster</cp:lastModifiedBy>
  <dcterms:created xsi:type="dcterms:W3CDTF">2023-01-26T19:27:25Z</dcterms:created>
  <dcterms:modified xsi:type="dcterms:W3CDTF">2023-01-26T21:16:46Z</dcterms:modified>
</cp:coreProperties>
</file>