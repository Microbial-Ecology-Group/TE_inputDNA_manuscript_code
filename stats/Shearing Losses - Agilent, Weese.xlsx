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rique\Dropbox\Projects\Agilent_Input\TE_inputDNA_manuscript_code\stats\"/>
    </mc:Choice>
  </mc:AlternateContent>
  <xr:revisionPtr revIDLastSave="0" documentId="13_ncr:1_{E018CB0F-D60B-4559-9A92-01DC446C4455}" xr6:coauthVersionLast="47" xr6:coauthVersionMax="47" xr10:uidLastSave="{00000000-0000-0000-0000-000000000000}"/>
  <bookViews>
    <workbookView xWindow="-120" yWindow="-120" windowWidth="29040" windowHeight="15840" xr2:uid="{432B73DE-1E9F-AE4B-B1F6-B9C83275D39B}"/>
  </bookViews>
  <sheets>
    <sheet name="Agilent Project Shearing" sheetId="1" r:id="rId1"/>
    <sheet name="Weese 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2" l="1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3" i="2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3" i="1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N149" i="2"/>
  <c r="O149" i="2" s="1"/>
  <c r="M149" i="2"/>
  <c r="N148" i="2"/>
  <c r="O148" i="2" s="1"/>
  <c r="M148" i="2"/>
  <c r="N147" i="2"/>
  <c r="O147" i="2" s="1"/>
  <c r="M147" i="2"/>
  <c r="N146" i="2"/>
  <c r="O146" i="2" s="1"/>
  <c r="M146" i="2"/>
  <c r="N145" i="2"/>
  <c r="O145" i="2" s="1"/>
  <c r="M145" i="2"/>
  <c r="N144" i="2"/>
  <c r="O144" i="2" s="1"/>
  <c r="M144" i="2"/>
  <c r="N143" i="2"/>
  <c r="O143" i="2" s="1"/>
  <c r="M143" i="2"/>
  <c r="N142" i="2"/>
  <c r="O142" i="2" s="1"/>
  <c r="M142" i="2"/>
  <c r="N141" i="2"/>
  <c r="O141" i="2" s="1"/>
  <c r="M141" i="2"/>
  <c r="N140" i="2"/>
  <c r="O140" i="2" s="1"/>
  <c r="M140" i="2"/>
  <c r="N139" i="2"/>
  <c r="O139" i="2" s="1"/>
  <c r="M139" i="2"/>
  <c r="N138" i="2"/>
  <c r="O138" i="2" s="1"/>
  <c r="M138" i="2"/>
  <c r="N137" i="2"/>
  <c r="O137" i="2" s="1"/>
  <c r="M137" i="2"/>
  <c r="N136" i="2"/>
  <c r="O136" i="2" s="1"/>
  <c r="M136" i="2"/>
  <c r="N135" i="2"/>
  <c r="O135" i="2" s="1"/>
  <c r="M135" i="2"/>
  <c r="N134" i="2"/>
  <c r="O134" i="2" s="1"/>
  <c r="M134" i="2"/>
  <c r="N133" i="2"/>
  <c r="O133" i="2" s="1"/>
  <c r="M133" i="2"/>
  <c r="N132" i="2"/>
  <c r="O132" i="2" s="1"/>
  <c r="M132" i="2"/>
  <c r="N131" i="2"/>
  <c r="O131" i="2" s="1"/>
  <c r="M131" i="2"/>
  <c r="N130" i="2"/>
  <c r="O130" i="2" s="1"/>
  <c r="M130" i="2"/>
  <c r="N129" i="2"/>
  <c r="O129" i="2" s="1"/>
  <c r="M129" i="2"/>
  <c r="N128" i="2"/>
  <c r="O128" i="2" s="1"/>
  <c r="M128" i="2"/>
  <c r="N127" i="2"/>
  <c r="O127" i="2" s="1"/>
  <c r="M127" i="2"/>
  <c r="N126" i="2"/>
  <c r="O126" i="2" s="1"/>
  <c r="M126" i="2"/>
  <c r="N125" i="2"/>
  <c r="O125" i="2" s="1"/>
  <c r="M125" i="2"/>
  <c r="N124" i="2"/>
  <c r="O124" i="2" s="1"/>
  <c r="M124" i="2"/>
  <c r="N123" i="2"/>
  <c r="O123" i="2" s="1"/>
  <c r="M123" i="2"/>
  <c r="N122" i="2"/>
  <c r="O122" i="2" s="1"/>
  <c r="M122" i="2"/>
  <c r="N121" i="2"/>
  <c r="O121" i="2" s="1"/>
  <c r="M121" i="2"/>
  <c r="N120" i="2"/>
  <c r="O120" i="2" s="1"/>
  <c r="M120" i="2"/>
  <c r="N119" i="2"/>
  <c r="O119" i="2" s="1"/>
  <c r="M119" i="2"/>
  <c r="N118" i="2"/>
  <c r="O118" i="2" s="1"/>
  <c r="M118" i="2"/>
  <c r="N117" i="2"/>
  <c r="O117" i="2" s="1"/>
  <c r="M117" i="2"/>
  <c r="N116" i="2"/>
  <c r="O116" i="2" s="1"/>
  <c r="M116" i="2"/>
  <c r="N115" i="2"/>
  <c r="O115" i="2" s="1"/>
  <c r="M115" i="2"/>
  <c r="N114" i="2"/>
  <c r="O114" i="2" s="1"/>
  <c r="M114" i="2"/>
  <c r="N113" i="2"/>
  <c r="O113" i="2" s="1"/>
  <c r="M113" i="2"/>
  <c r="N112" i="2"/>
  <c r="O112" i="2" s="1"/>
  <c r="M112" i="2"/>
  <c r="N111" i="2"/>
  <c r="O111" i="2" s="1"/>
  <c r="M111" i="2"/>
  <c r="N110" i="2"/>
  <c r="O110" i="2" s="1"/>
  <c r="M110" i="2"/>
  <c r="N109" i="2"/>
  <c r="O109" i="2" s="1"/>
  <c r="M109" i="2"/>
  <c r="N108" i="2"/>
  <c r="O108" i="2" s="1"/>
  <c r="M108" i="2"/>
  <c r="N107" i="2"/>
  <c r="O107" i="2" s="1"/>
  <c r="M107" i="2"/>
  <c r="N106" i="2"/>
  <c r="O106" i="2" s="1"/>
  <c r="M106" i="2"/>
  <c r="N105" i="2"/>
  <c r="O105" i="2" s="1"/>
  <c r="M105" i="2"/>
  <c r="N104" i="2"/>
  <c r="O104" i="2" s="1"/>
  <c r="M104" i="2"/>
  <c r="N103" i="2"/>
  <c r="O103" i="2" s="1"/>
  <c r="M103" i="2"/>
  <c r="N102" i="2"/>
  <c r="O102" i="2" s="1"/>
  <c r="M102" i="2"/>
  <c r="N101" i="2"/>
  <c r="O101" i="2" s="1"/>
  <c r="M101" i="2"/>
  <c r="N100" i="2"/>
  <c r="O100" i="2" s="1"/>
  <c r="M100" i="2"/>
  <c r="N99" i="2"/>
  <c r="O99" i="2" s="1"/>
  <c r="M99" i="2"/>
  <c r="N98" i="2"/>
  <c r="O98" i="2" s="1"/>
  <c r="M98" i="2"/>
  <c r="N97" i="2"/>
  <c r="O97" i="2" s="1"/>
  <c r="N96" i="2"/>
  <c r="O96" i="2" s="1"/>
  <c r="N95" i="2"/>
  <c r="O95" i="2" s="1"/>
  <c r="M95" i="2"/>
  <c r="N94" i="2"/>
  <c r="O94" i="2" s="1"/>
  <c r="M94" i="2"/>
  <c r="N93" i="2"/>
  <c r="O93" i="2" s="1"/>
  <c r="M93" i="2"/>
  <c r="N92" i="2"/>
  <c r="O92" i="2" s="1"/>
  <c r="M92" i="2"/>
  <c r="N91" i="2"/>
  <c r="O91" i="2" s="1"/>
  <c r="N90" i="2"/>
  <c r="O90" i="2" s="1"/>
  <c r="M90" i="2"/>
  <c r="N89" i="2"/>
  <c r="O89" i="2" s="1"/>
  <c r="M89" i="2"/>
  <c r="N88" i="2"/>
  <c r="O88" i="2" s="1"/>
  <c r="M88" i="2"/>
  <c r="N87" i="2"/>
  <c r="O87" i="2" s="1"/>
  <c r="M87" i="2"/>
  <c r="N86" i="2"/>
  <c r="O86" i="2" s="1"/>
  <c r="M86" i="2"/>
  <c r="N85" i="2"/>
  <c r="O85" i="2" s="1"/>
  <c r="N84" i="2"/>
  <c r="O84" i="2" s="1"/>
  <c r="M84" i="2"/>
  <c r="N83" i="2"/>
  <c r="O83" i="2" s="1"/>
  <c r="M83" i="2"/>
  <c r="N82" i="2"/>
  <c r="O82" i="2" s="1"/>
  <c r="M82" i="2"/>
  <c r="N81" i="2"/>
  <c r="O81" i="2" s="1"/>
  <c r="M81" i="2"/>
  <c r="N80" i="2"/>
  <c r="O80" i="2" s="1"/>
  <c r="M80" i="2"/>
  <c r="N79" i="2"/>
  <c r="O79" i="2" s="1"/>
  <c r="M79" i="2"/>
  <c r="N78" i="2"/>
  <c r="O78" i="2" s="1"/>
  <c r="N77" i="2"/>
  <c r="O77" i="2" s="1"/>
  <c r="M77" i="2"/>
  <c r="N76" i="2"/>
  <c r="O76" i="2" s="1"/>
  <c r="M76" i="2"/>
  <c r="N75" i="2"/>
  <c r="O75" i="2" s="1"/>
  <c r="M75" i="2"/>
  <c r="N74" i="2"/>
  <c r="O74" i="2" s="1"/>
  <c r="M74" i="2"/>
  <c r="N73" i="2"/>
  <c r="O73" i="2" s="1"/>
  <c r="M73" i="2"/>
  <c r="N72" i="2"/>
  <c r="O72" i="2" s="1"/>
  <c r="M72" i="2"/>
  <c r="N71" i="2"/>
  <c r="O71" i="2" s="1"/>
  <c r="N70" i="2"/>
  <c r="O70" i="2" s="1"/>
  <c r="M70" i="2"/>
  <c r="N69" i="2"/>
  <c r="O69" i="2" s="1"/>
  <c r="M69" i="2"/>
  <c r="N68" i="2"/>
  <c r="O68" i="2" s="1"/>
  <c r="N67" i="2"/>
  <c r="O67" i="2" s="1"/>
  <c r="M67" i="2"/>
  <c r="N66" i="2"/>
  <c r="O66" i="2" s="1"/>
  <c r="M66" i="2"/>
  <c r="N65" i="2"/>
  <c r="O65" i="2" s="1"/>
  <c r="M65" i="2"/>
  <c r="N64" i="2"/>
  <c r="O64" i="2" s="1"/>
  <c r="M64" i="2"/>
  <c r="N63" i="2"/>
  <c r="O63" i="2" s="1"/>
  <c r="N62" i="2"/>
  <c r="O62" i="2" s="1"/>
  <c r="N61" i="2"/>
  <c r="O61" i="2" s="1"/>
  <c r="M61" i="2"/>
  <c r="N60" i="2"/>
  <c r="O60" i="2" s="1"/>
  <c r="M60" i="2"/>
  <c r="N59" i="2"/>
  <c r="O59" i="2" s="1"/>
  <c r="M59" i="2"/>
  <c r="N58" i="2"/>
  <c r="O58" i="2" s="1"/>
  <c r="M58" i="2"/>
  <c r="N57" i="2"/>
  <c r="O57" i="2" s="1"/>
  <c r="M57" i="2"/>
  <c r="N56" i="2"/>
  <c r="O56" i="2" s="1"/>
  <c r="N55" i="2"/>
  <c r="O55" i="2" s="1"/>
  <c r="M55" i="2"/>
  <c r="N54" i="2"/>
  <c r="O54" i="2" s="1"/>
  <c r="M54" i="2"/>
  <c r="N53" i="2"/>
  <c r="O53" i="2" s="1"/>
  <c r="M53" i="2"/>
  <c r="N52" i="2"/>
  <c r="O52" i="2" s="1"/>
  <c r="M52" i="2"/>
  <c r="N51" i="2"/>
  <c r="O51" i="2" s="1"/>
  <c r="M51" i="2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M45" i="2"/>
  <c r="N44" i="2"/>
  <c r="O44" i="2" s="1"/>
  <c r="M44" i="2"/>
  <c r="N43" i="2"/>
  <c r="O43" i="2" s="1"/>
  <c r="M43" i="2"/>
  <c r="N42" i="2"/>
  <c r="O42" i="2" s="1"/>
  <c r="N41" i="2"/>
  <c r="O41" i="2" s="1"/>
  <c r="M41" i="2"/>
  <c r="N40" i="2"/>
  <c r="O40" i="2" s="1"/>
  <c r="M40" i="2"/>
  <c r="N39" i="2"/>
  <c r="O39" i="2" s="1"/>
  <c r="M39" i="2"/>
  <c r="N38" i="2"/>
  <c r="O38" i="2" s="1"/>
  <c r="N37" i="2"/>
  <c r="O37" i="2" s="1"/>
  <c r="M37" i="2"/>
  <c r="N36" i="2"/>
  <c r="O36" i="2" s="1"/>
  <c r="N35" i="2"/>
  <c r="O35" i="2" s="1"/>
  <c r="M35" i="2"/>
  <c r="N34" i="2"/>
  <c r="O34" i="2" s="1"/>
  <c r="M34" i="2"/>
  <c r="N33" i="2"/>
  <c r="O33" i="2" s="1"/>
  <c r="N32" i="2"/>
  <c r="O32" i="2" s="1"/>
  <c r="N31" i="2"/>
  <c r="O31" i="2" s="1"/>
  <c r="M31" i="2"/>
  <c r="N30" i="2"/>
  <c r="O30" i="2" s="1"/>
  <c r="N29" i="2"/>
  <c r="O29" i="2" s="1"/>
  <c r="M29" i="2"/>
  <c r="N28" i="2"/>
  <c r="O28" i="2" s="1"/>
  <c r="M28" i="2"/>
  <c r="N27" i="2"/>
  <c r="O27" i="2" s="1"/>
  <c r="M27" i="2"/>
  <c r="N26" i="2"/>
  <c r="O26" i="2" s="1"/>
  <c r="M26" i="2"/>
  <c r="N25" i="2"/>
  <c r="O25" i="2" s="1"/>
  <c r="M25" i="2"/>
  <c r="N24" i="2"/>
  <c r="O24" i="2" s="1"/>
  <c r="M24" i="2"/>
  <c r="N23" i="2"/>
  <c r="O23" i="2" s="1"/>
  <c r="M23" i="2"/>
  <c r="N22" i="2"/>
  <c r="O22" i="2" s="1"/>
  <c r="M22" i="2"/>
  <c r="N21" i="2"/>
  <c r="O21" i="2" s="1"/>
  <c r="M21" i="2"/>
  <c r="N20" i="2"/>
  <c r="O20" i="2" s="1"/>
  <c r="M20" i="2"/>
  <c r="N19" i="2"/>
  <c r="O19" i="2" s="1"/>
  <c r="M19" i="2"/>
  <c r="N18" i="2"/>
  <c r="O18" i="2" s="1"/>
  <c r="N17" i="2"/>
  <c r="O17" i="2" s="1"/>
  <c r="M17" i="2"/>
  <c r="N16" i="2"/>
  <c r="O16" i="2" s="1"/>
  <c r="N15" i="2"/>
  <c r="O15" i="2" s="1"/>
  <c r="M15" i="2"/>
  <c r="N14" i="2"/>
  <c r="O14" i="2" s="1"/>
  <c r="M14" i="2"/>
  <c r="N13" i="2"/>
  <c r="O13" i="2" s="1"/>
  <c r="M13" i="2"/>
  <c r="N12" i="2"/>
  <c r="O12" i="2" s="1"/>
  <c r="M12" i="2"/>
  <c r="N11" i="2"/>
  <c r="O11" i="2" s="1"/>
  <c r="M11" i="2"/>
  <c r="N10" i="2"/>
  <c r="O10" i="2" s="1"/>
  <c r="M10" i="2"/>
  <c r="N9" i="2"/>
  <c r="O9" i="2" s="1"/>
  <c r="M9" i="2"/>
  <c r="N8" i="2"/>
  <c r="O8" i="2" s="1"/>
  <c r="M8" i="2"/>
  <c r="N7" i="2"/>
  <c r="O7" i="2" s="1"/>
  <c r="N6" i="2"/>
  <c r="O6" i="2" s="1"/>
  <c r="N5" i="2"/>
  <c r="O5" i="2" s="1"/>
  <c r="M5" i="2"/>
  <c r="N4" i="2"/>
  <c r="O4" i="2" s="1"/>
  <c r="M4" i="2"/>
  <c r="N3" i="2"/>
  <c r="O3" i="2" s="1"/>
  <c r="M3" i="2"/>
  <c r="K97" i="2"/>
  <c r="M97" i="2" s="1"/>
  <c r="K96" i="2"/>
  <c r="M96" i="2" s="1"/>
  <c r="K91" i="2"/>
  <c r="M91" i="2" s="1"/>
  <c r="K85" i="2"/>
  <c r="M85" i="2" s="1"/>
  <c r="K78" i="2"/>
  <c r="M78" i="2" s="1"/>
  <c r="K71" i="2"/>
  <c r="M71" i="2" s="1"/>
  <c r="K68" i="2"/>
  <c r="M68" i="2" s="1"/>
  <c r="K63" i="2"/>
  <c r="M63" i="2" s="1"/>
  <c r="K62" i="2"/>
  <c r="M62" i="2" s="1"/>
  <c r="K56" i="2"/>
  <c r="M56" i="2" s="1"/>
  <c r="K50" i="2"/>
  <c r="M50" i="2" s="1"/>
  <c r="K49" i="2"/>
  <c r="M49" i="2" s="1"/>
  <c r="K48" i="2"/>
  <c r="M48" i="2" s="1"/>
  <c r="K47" i="2"/>
  <c r="M47" i="2" s="1"/>
  <c r="K46" i="2"/>
  <c r="M46" i="2" s="1"/>
  <c r="K42" i="2"/>
  <c r="M42" i="2" s="1"/>
  <c r="K38" i="2"/>
  <c r="M38" i="2" s="1"/>
  <c r="K36" i="2"/>
  <c r="M36" i="2" s="1"/>
  <c r="K33" i="2"/>
  <c r="M33" i="2" s="1"/>
  <c r="K32" i="2"/>
  <c r="M32" i="2" s="1"/>
  <c r="K30" i="2"/>
  <c r="M30" i="2" s="1"/>
  <c r="K18" i="2"/>
  <c r="M18" i="2" s="1"/>
  <c r="K16" i="2"/>
  <c r="M16" i="2" s="1"/>
  <c r="K7" i="2"/>
  <c r="M7" i="2" s="1"/>
  <c r="K6" i="2"/>
  <c r="M6" i="2" s="1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5" i="2"/>
  <c r="L94" i="2"/>
  <c r="L93" i="2"/>
  <c r="L92" i="2"/>
  <c r="L90" i="2"/>
  <c r="L89" i="2"/>
  <c r="L88" i="2"/>
  <c r="L87" i="2"/>
  <c r="L86" i="2"/>
  <c r="L84" i="2"/>
  <c r="L83" i="2"/>
  <c r="L82" i="2"/>
  <c r="L81" i="2"/>
  <c r="L80" i="2"/>
  <c r="L79" i="2"/>
  <c r="L77" i="2"/>
  <c r="L76" i="2"/>
  <c r="L75" i="2"/>
  <c r="L74" i="2"/>
  <c r="L73" i="2"/>
  <c r="L72" i="2"/>
  <c r="L70" i="2"/>
  <c r="L69" i="2"/>
  <c r="L67" i="2"/>
  <c r="L66" i="2"/>
  <c r="L65" i="2"/>
  <c r="L64" i="2"/>
  <c r="L61" i="2"/>
  <c r="L60" i="2"/>
  <c r="L59" i="2"/>
  <c r="L58" i="2"/>
  <c r="L57" i="2"/>
  <c r="L55" i="2"/>
  <c r="L54" i="2"/>
  <c r="L53" i="2"/>
  <c r="L52" i="2"/>
  <c r="L51" i="2"/>
  <c r="L45" i="2"/>
  <c r="L44" i="2"/>
  <c r="L43" i="2"/>
  <c r="L41" i="2"/>
  <c r="L40" i="2"/>
  <c r="L39" i="2"/>
  <c r="L37" i="2"/>
  <c r="L35" i="2"/>
  <c r="L34" i="2"/>
  <c r="L31" i="2"/>
  <c r="L29" i="2"/>
  <c r="L28" i="2"/>
  <c r="L27" i="2"/>
  <c r="L26" i="2"/>
  <c r="L25" i="2"/>
  <c r="L24" i="2"/>
  <c r="L23" i="2"/>
  <c r="L22" i="2"/>
  <c r="L21" i="2"/>
  <c r="L20" i="2"/>
  <c r="L19" i="2"/>
  <c r="L17" i="2"/>
  <c r="L15" i="2"/>
  <c r="L14" i="2"/>
  <c r="L13" i="2"/>
  <c r="L12" i="2"/>
  <c r="L11" i="2"/>
  <c r="L10" i="2"/>
  <c r="L9" i="2"/>
  <c r="L8" i="2"/>
  <c r="L5" i="2"/>
  <c r="L4" i="2"/>
  <c r="L3" i="2"/>
  <c r="G3" i="1" l="1"/>
  <c r="M18" i="1"/>
  <c r="Q18" i="1" s="1"/>
  <c r="M17" i="1"/>
  <c r="Q17" i="1" s="1"/>
  <c r="M16" i="1"/>
  <c r="Q16" i="1" s="1"/>
  <c r="M15" i="1"/>
  <c r="Q15" i="1" s="1"/>
  <c r="M14" i="1"/>
  <c r="Q14" i="1" s="1"/>
  <c r="M13" i="1"/>
  <c r="Q13" i="1" s="1"/>
  <c r="M12" i="1"/>
  <c r="Q12" i="1" s="1"/>
  <c r="M11" i="1"/>
  <c r="Q11" i="1" s="1"/>
  <c r="M10" i="1"/>
  <c r="Q10" i="1" s="1"/>
  <c r="M9" i="1"/>
  <c r="Q9" i="1" s="1"/>
  <c r="M8" i="1"/>
  <c r="Q8" i="1" s="1"/>
  <c r="M7" i="1"/>
  <c r="Q7" i="1" s="1"/>
  <c r="M6" i="1"/>
  <c r="Q6" i="1" s="1"/>
  <c r="M5" i="1"/>
  <c r="Q5" i="1" s="1"/>
  <c r="M4" i="1"/>
  <c r="Q4" i="1" s="1"/>
  <c r="M3" i="1"/>
  <c r="Q3" i="1" s="1"/>
  <c r="H18" i="1"/>
  <c r="J18" i="1" s="1"/>
  <c r="K18" i="1" s="1"/>
  <c r="H17" i="1"/>
  <c r="J17" i="1" s="1"/>
  <c r="K17" i="1" s="1"/>
  <c r="H16" i="1"/>
  <c r="J16" i="1" s="1"/>
  <c r="K16" i="1" s="1"/>
  <c r="H15" i="1"/>
  <c r="J15" i="1" s="1"/>
  <c r="K15" i="1" s="1"/>
  <c r="H14" i="1"/>
  <c r="J14" i="1" s="1"/>
  <c r="K14" i="1" s="1"/>
  <c r="H13" i="1"/>
  <c r="J13" i="1" s="1"/>
  <c r="K13" i="1" s="1"/>
  <c r="H12" i="1"/>
  <c r="J12" i="1" s="1"/>
  <c r="K12" i="1" s="1"/>
  <c r="H11" i="1"/>
  <c r="J11" i="1" s="1"/>
  <c r="K11" i="1" s="1"/>
  <c r="H10" i="1"/>
  <c r="J10" i="1" s="1"/>
  <c r="K10" i="1" s="1"/>
  <c r="H9" i="1"/>
  <c r="J9" i="1" s="1"/>
  <c r="K9" i="1" s="1"/>
  <c r="H8" i="1"/>
  <c r="J8" i="1" s="1"/>
  <c r="K8" i="1" s="1"/>
  <c r="H7" i="1"/>
  <c r="J7" i="1" s="1"/>
  <c r="K7" i="1" s="1"/>
  <c r="H6" i="1"/>
  <c r="J6" i="1" s="1"/>
  <c r="K6" i="1" s="1"/>
  <c r="H5" i="1"/>
  <c r="J5" i="1" s="1"/>
  <c r="K5" i="1" s="1"/>
  <c r="H4" i="1"/>
  <c r="J4" i="1" s="1"/>
  <c r="K4" i="1" s="1"/>
  <c r="H3" i="1"/>
  <c r="J3" i="1" s="1"/>
  <c r="K3" i="1" s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I5" i="1" l="1"/>
  <c r="I15" i="1"/>
  <c r="I6" i="1"/>
  <c r="I8" i="1"/>
  <c r="I16" i="1"/>
  <c r="I9" i="1"/>
  <c r="I17" i="1"/>
  <c r="I14" i="1"/>
  <c r="I10" i="1"/>
  <c r="I3" i="1"/>
  <c r="I13" i="1"/>
  <c r="I12" i="1"/>
  <c r="I4" i="1"/>
  <c r="I11" i="1"/>
  <c r="I7" i="1"/>
  <c r="I18" i="1"/>
</calcChain>
</file>

<file path=xl/sharedStrings.xml><?xml version="1.0" encoding="utf-8"?>
<sst xmlns="http://schemas.openxmlformats.org/spreadsheetml/2006/main" count="809" uniqueCount="509">
  <si>
    <t>ID</t>
  </si>
  <si>
    <t>USDA7</t>
  </si>
  <si>
    <t>BFe2</t>
  </si>
  <si>
    <t>BFe11</t>
  </si>
  <si>
    <t>BFe13</t>
  </si>
  <si>
    <t>BFe39</t>
  </si>
  <si>
    <t>AFe9</t>
  </si>
  <si>
    <t>AFe20</t>
  </si>
  <si>
    <t>AFe25</t>
  </si>
  <si>
    <t>AFe36</t>
  </si>
  <si>
    <t>PFe13</t>
  </si>
  <si>
    <t>PFe16</t>
  </si>
  <si>
    <t>PFe22</t>
  </si>
  <si>
    <t>PFe37</t>
  </si>
  <si>
    <t>*HBHw1</t>
  </si>
  <si>
    <t>*HBHw2</t>
  </si>
  <si>
    <t>*HBHw3</t>
  </si>
  <si>
    <t>*HBHw4</t>
  </si>
  <si>
    <t>Avg Sample Conc (ng/ul)</t>
  </si>
  <si>
    <t>DNA Yield (ug)</t>
  </si>
  <si>
    <t>Extraction</t>
  </si>
  <si>
    <t>Number of Shear Volumes</t>
  </si>
  <si>
    <t>Amt DNA for Covaris (ug)</t>
  </si>
  <si>
    <t>Amt DNA (ul)</t>
  </si>
  <si>
    <t>Total Volume for Covaris (ul)</t>
  </si>
  <si>
    <t>1X Low TE to Reach Volume (ul)</t>
  </si>
  <si>
    <t>Covaris Volume (ul)</t>
  </si>
  <si>
    <t>Amt Beads (0.8 beads: sample) (ul)</t>
  </si>
  <si>
    <t>Elution Vol (ul)</t>
  </si>
  <si>
    <t>Total Elution Vol (ul)</t>
  </si>
  <si>
    <t>TS Conc (100-1000bp) (ng/ul)</t>
  </si>
  <si>
    <t>Peak (bp)</t>
  </si>
  <si>
    <t>Molarity (nmol)</t>
  </si>
  <si>
    <t>TS Yield (ng)</t>
  </si>
  <si>
    <t>Shearing</t>
  </si>
  <si>
    <t>Bead Clean</t>
  </si>
  <si>
    <t>TapeStation Post Shearing</t>
  </si>
  <si>
    <t>Notes</t>
  </si>
  <si>
    <t>Yield inflated, Conc not accurate - should have been diluted and reTS (50ng/ul max)</t>
  </si>
  <si>
    <t>Guelph - EXTRACTIONS</t>
  </si>
  <si>
    <t>Guelph - QUBIT</t>
  </si>
  <si>
    <t>MEG - QUBIT</t>
  </si>
  <si>
    <t>YIELD</t>
  </si>
  <si>
    <t>MEG Sample ID</t>
  </si>
  <si>
    <t>Guelph Sample ID</t>
  </si>
  <si>
    <t>Matrix</t>
  </si>
  <si>
    <t>Species</t>
  </si>
  <si>
    <t>Vol. sent (ul)</t>
  </si>
  <si>
    <t>Conc. Avg (ng/ul)</t>
  </si>
  <si>
    <t>DNA Yield (ng)</t>
  </si>
  <si>
    <t>Qubit Date</t>
  </si>
  <si>
    <t>Avg Conc. (ng/ul)</t>
  </si>
  <si>
    <t>MEG/Guelph</t>
  </si>
  <si>
    <t>Yield after shearing (ng)</t>
  </si>
  <si>
    <t>Guelph_1</t>
  </si>
  <si>
    <t>PT010H1T0</t>
  </si>
  <si>
    <t>Feces</t>
  </si>
  <si>
    <t>Human</t>
  </si>
  <si>
    <t>Guelph_2</t>
  </si>
  <si>
    <t>PT010H2T0</t>
  </si>
  <si>
    <t>Guelph_3</t>
  </si>
  <si>
    <t>PT010D1T0</t>
  </si>
  <si>
    <t>Dog</t>
  </si>
  <si>
    <t>Guelph_4</t>
  </si>
  <si>
    <t>PT012H1T0</t>
  </si>
  <si>
    <t>Guelph_5</t>
  </si>
  <si>
    <t>PT012D1T0</t>
  </si>
  <si>
    <t>Guelph_6</t>
  </si>
  <si>
    <t>PT014H1T0</t>
  </si>
  <si>
    <t>Guelph_7</t>
  </si>
  <si>
    <t>PT014D1T0</t>
  </si>
  <si>
    <t>Guelph_8</t>
  </si>
  <si>
    <t>PT015H1T0</t>
  </si>
  <si>
    <t>Guelph_9</t>
  </si>
  <si>
    <t>PT015H2T0</t>
  </si>
  <si>
    <t>Guelph_10</t>
  </si>
  <si>
    <t>PT015H3T0</t>
  </si>
  <si>
    <t>Guelph_11</t>
  </si>
  <si>
    <t>PT015H4T0</t>
  </si>
  <si>
    <t>Guelph_12</t>
  </si>
  <si>
    <t>PT015D1T0</t>
  </si>
  <si>
    <t>Guelph_13</t>
  </si>
  <si>
    <t>PT017H1T0</t>
  </si>
  <si>
    <t>Guelph_14</t>
  </si>
  <si>
    <t>PT017D1T0</t>
  </si>
  <si>
    <t>Guelph_15</t>
  </si>
  <si>
    <t>PT019H1T0</t>
  </si>
  <si>
    <t>Guelph_16</t>
  </si>
  <si>
    <t>PT019H2T0</t>
  </si>
  <si>
    <t>Guelph_17</t>
  </si>
  <si>
    <t>PT019D1T0</t>
  </si>
  <si>
    <t>Guelph_18</t>
  </si>
  <si>
    <t>PT021H2T0</t>
  </si>
  <si>
    <t>Guelph_19</t>
  </si>
  <si>
    <t>PT021D1T0</t>
  </si>
  <si>
    <t>Guelph_20</t>
  </si>
  <si>
    <t>PT021D2T0</t>
  </si>
  <si>
    <t>Guelph_21</t>
  </si>
  <si>
    <t>PT023H1T0</t>
  </si>
  <si>
    <t>Guelph_22</t>
  </si>
  <si>
    <t>PT023H2T0</t>
  </si>
  <si>
    <t>Guelph_23</t>
  </si>
  <si>
    <t>PT023D1T0</t>
  </si>
  <si>
    <t>Guelph_24</t>
  </si>
  <si>
    <t>PT024H1T0</t>
  </si>
  <si>
    <t>Guelph_25</t>
  </si>
  <si>
    <t>PT024H2T0</t>
  </si>
  <si>
    <t>Guelph_26</t>
  </si>
  <si>
    <t>PT024D1T0</t>
  </si>
  <si>
    <t>Guelph_27</t>
  </si>
  <si>
    <t>PT026H1T0</t>
  </si>
  <si>
    <t>Guelph_28</t>
  </si>
  <si>
    <t>PT026D1T0</t>
  </si>
  <si>
    <t>Guelph_29</t>
  </si>
  <si>
    <t>PT046H1T0</t>
  </si>
  <si>
    <t>Guelph_30</t>
  </si>
  <si>
    <t>PT046D1T0</t>
  </si>
  <si>
    <t>Guelph_31</t>
  </si>
  <si>
    <t>PT047H1T0</t>
  </si>
  <si>
    <t>Guelph_32</t>
  </si>
  <si>
    <t>PT047D1T0</t>
  </si>
  <si>
    <t>Guelph_33</t>
  </si>
  <si>
    <t>PT048H1T0</t>
  </si>
  <si>
    <t>Guelph_34</t>
  </si>
  <si>
    <t>PT048D1T0</t>
  </si>
  <si>
    <t>Guelph_35</t>
  </si>
  <si>
    <t>PT050H1T0</t>
  </si>
  <si>
    <t>Guelph_36</t>
  </si>
  <si>
    <t>PT050D1T0</t>
  </si>
  <si>
    <t>Guelph_37</t>
  </si>
  <si>
    <t>PT051H1T0</t>
  </si>
  <si>
    <t>Guelph_38</t>
  </si>
  <si>
    <t>PT051H2T0</t>
  </si>
  <si>
    <t>Guelph_39</t>
  </si>
  <si>
    <t>PT051D1T0</t>
  </si>
  <si>
    <t>Guelph_40</t>
  </si>
  <si>
    <t>PT051D2T0</t>
  </si>
  <si>
    <t>Guelph_41</t>
  </si>
  <si>
    <t>PT051D3T0</t>
  </si>
  <si>
    <t>Guelph_42</t>
  </si>
  <si>
    <t>PT051D5T0</t>
  </si>
  <si>
    <t>Guelph_43</t>
  </si>
  <si>
    <t>PT052H1T0</t>
  </si>
  <si>
    <t>Guelph_44</t>
  </si>
  <si>
    <t>PT052D1T0</t>
  </si>
  <si>
    <t>Guelph_45</t>
  </si>
  <si>
    <t>PT053H1T0</t>
  </si>
  <si>
    <t>Guelph_46</t>
  </si>
  <si>
    <t>PT053D1T0</t>
  </si>
  <si>
    <t>Guelph_47</t>
  </si>
  <si>
    <t>PT054H1T0</t>
  </si>
  <si>
    <t>Guelph_48</t>
  </si>
  <si>
    <t>PT054D1T0</t>
  </si>
  <si>
    <t>Guelph_49</t>
  </si>
  <si>
    <t>UK002H1T0</t>
  </si>
  <si>
    <t>Guelph_50</t>
  </si>
  <si>
    <t>UK002H2T0</t>
  </si>
  <si>
    <t>Guelph_51</t>
  </si>
  <si>
    <t>UK002D1T0</t>
  </si>
  <si>
    <t>Guelph_52</t>
  </si>
  <si>
    <t>UK005H1T0</t>
  </si>
  <si>
    <t>Guelph_53</t>
  </si>
  <si>
    <t>UK005H2T0</t>
  </si>
  <si>
    <t>Guelph_54</t>
  </si>
  <si>
    <t>UK005D1T0</t>
  </si>
  <si>
    <t>Guelph_55</t>
  </si>
  <si>
    <t>UK008H1T0</t>
  </si>
  <si>
    <t>Guelph_56</t>
  </si>
  <si>
    <t>UK008D1T0</t>
  </si>
  <si>
    <t>Guelph_57</t>
  </si>
  <si>
    <t>UK012H1T0</t>
  </si>
  <si>
    <t>Guelph_58</t>
  </si>
  <si>
    <t>UK012D1T0</t>
  </si>
  <si>
    <t>Guelph_59</t>
  </si>
  <si>
    <t>UK013H1T0</t>
  </si>
  <si>
    <t>Guelph_60</t>
  </si>
  <si>
    <t>UK013D1T0</t>
  </si>
  <si>
    <t>Guelph_61</t>
  </si>
  <si>
    <t>UK014H1T0</t>
  </si>
  <si>
    <t>Guelph_62</t>
  </si>
  <si>
    <t>UK014H2T0</t>
  </si>
  <si>
    <t>Guelph_63</t>
  </si>
  <si>
    <t>UK014D1T0</t>
  </si>
  <si>
    <t>Guelph_64</t>
  </si>
  <si>
    <t>UK015H1T0</t>
  </si>
  <si>
    <t>Guelph_65</t>
  </si>
  <si>
    <t>UK015H2T0</t>
  </si>
  <si>
    <t>Guelph_66</t>
  </si>
  <si>
    <t>UK015D1T0</t>
  </si>
  <si>
    <t>Guelph_67</t>
  </si>
  <si>
    <t>UK018H1T0</t>
  </si>
  <si>
    <t>Guelph_68</t>
  </si>
  <si>
    <t>UK018D1T0</t>
  </si>
  <si>
    <t>Guelph_69</t>
  </si>
  <si>
    <t>UK019H1T0</t>
  </si>
  <si>
    <t>Guelph_70</t>
  </si>
  <si>
    <t>UK019H2T0</t>
  </si>
  <si>
    <t>Guelph_71</t>
  </si>
  <si>
    <t>UK019D1T0</t>
  </si>
  <si>
    <t>Guelph_72</t>
  </si>
  <si>
    <t>UK020H1T0</t>
  </si>
  <si>
    <t>Guelph_73</t>
  </si>
  <si>
    <t>UK020D1T0</t>
  </si>
  <si>
    <t>Guelph_74</t>
  </si>
  <si>
    <t>UK026H1T0</t>
  </si>
  <si>
    <t>Guelph_75</t>
  </si>
  <si>
    <t>UK026D1T0</t>
  </si>
  <si>
    <t>Guelph_76</t>
  </si>
  <si>
    <t>UK028H1T0</t>
  </si>
  <si>
    <t>Guelph_77</t>
  </si>
  <si>
    <t>UK028D1T0</t>
  </si>
  <si>
    <t>Guelph_78</t>
  </si>
  <si>
    <t>UK031H1T0</t>
  </si>
  <si>
    <t>Guelph_79</t>
  </si>
  <si>
    <t>UK031D1T0</t>
  </si>
  <si>
    <t>Guelph_80</t>
  </si>
  <si>
    <t>UK033H1T0</t>
  </si>
  <si>
    <t>Guelph_81</t>
  </si>
  <si>
    <t>UK033D1T0</t>
  </si>
  <si>
    <t>Guelph_82</t>
  </si>
  <si>
    <t>UK034H1T0</t>
  </si>
  <si>
    <t>Guelph_83</t>
  </si>
  <si>
    <t>UK034D1T0</t>
  </si>
  <si>
    <t>Guelph_84</t>
  </si>
  <si>
    <t>UK036H1T0</t>
  </si>
  <si>
    <t>Guelph_85</t>
  </si>
  <si>
    <t>UK036D1T0</t>
  </si>
  <si>
    <t>Guelph_86</t>
  </si>
  <si>
    <t>UK038H1T0</t>
  </si>
  <si>
    <t>Guelph_87</t>
  </si>
  <si>
    <t>UK038D2T0</t>
  </si>
  <si>
    <t>Guelph_88</t>
  </si>
  <si>
    <t>UK044H1T0</t>
  </si>
  <si>
    <t>Guelph_89</t>
  </si>
  <si>
    <t>UK044D1T0</t>
  </si>
  <si>
    <t>Guelph_90</t>
  </si>
  <si>
    <t>UK044D2T0</t>
  </si>
  <si>
    <t>Guelph_91</t>
  </si>
  <si>
    <t>UK044D3T0</t>
  </si>
  <si>
    <t>Guelph_92</t>
  </si>
  <si>
    <t>UK047H1T0</t>
  </si>
  <si>
    <t>Guelph_93</t>
  </si>
  <si>
    <t>UK047D1T0</t>
  </si>
  <si>
    <t>Guelph_94</t>
  </si>
  <si>
    <t>UK049H1T0</t>
  </si>
  <si>
    <t>Guelph_95</t>
  </si>
  <si>
    <t>UK049D1T0</t>
  </si>
  <si>
    <t>Guelph_96</t>
  </si>
  <si>
    <t>UK053H1T0</t>
  </si>
  <si>
    <t>Guelph_97</t>
  </si>
  <si>
    <t>UK053D1T0</t>
  </si>
  <si>
    <t>Guelph_98</t>
  </si>
  <si>
    <t>PT114H1T0</t>
  </si>
  <si>
    <t>Guelph_99</t>
  </si>
  <si>
    <t>PT114H2T0</t>
  </si>
  <si>
    <t>Guelph_100</t>
  </si>
  <si>
    <t>PT114D1T0</t>
  </si>
  <si>
    <t>Guelph_101</t>
  </si>
  <si>
    <t>PT114H1T1</t>
  </si>
  <si>
    <t>Guelph_102</t>
  </si>
  <si>
    <t>PT114H2T1</t>
  </si>
  <si>
    <t>Guelph_103</t>
  </si>
  <si>
    <t>PT114D1T1</t>
  </si>
  <si>
    <t>Guelph_104</t>
  </si>
  <si>
    <t>PT118H1T0</t>
  </si>
  <si>
    <t>Guelph_105</t>
  </si>
  <si>
    <t>PT118D1T0</t>
  </si>
  <si>
    <t>Guelph_106</t>
  </si>
  <si>
    <t>PT118H1T1</t>
  </si>
  <si>
    <t>Guelph_107</t>
  </si>
  <si>
    <t>PT118D1T1</t>
  </si>
  <si>
    <t>Guelph_108</t>
  </si>
  <si>
    <t>PT120H1T0</t>
  </si>
  <si>
    <t>Guelph_109</t>
  </si>
  <si>
    <t>PT120H2T0</t>
  </si>
  <si>
    <t>Guelph_110</t>
  </si>
  <si>
    <t>PT120D1T0</t>
  </si>
  <si>
    <t>Guelph_111</t>
  </si>
  <si>
    <t>PT120D2T0</t>
  </si>
  <si>
    <t>Guelph_112</t>
  </si>
  <si>
    <t>PT120D3T0</t>
  </si>
  <si>
    <t>Guelph_113</t>
  </si>
  <si>
    <t>PT120H1T1</t>
  </si>
  <si>
    <t>Guelph_114</t>
  </si>
  <si>
    <t>PT120H2T1</t>
  </si>
  <si>
    <t>Guelph_115</t>
  </si>
  <si>
    <t>PT120D1T1</t>
  </si>
  <si>
    <t>Guelph_116</t>
  </si>
  <si>
    <t>PT120D2T1</t>
  </si>
  <si>
    <t>Guelph_117</t>
  </si>
  <si>
    <t>PT120D3T1</t>
  </si>
  <si>
    <t>Guelph_118</t>
  </si>
  <si>
    <t>PT125H1T0</t>
  </si>
  <si>
    <t>Guelph_119</t>
  </si>
  <si>
    <t>PT125H2T0</t>
  </si>
  <si>
    <t>Guelph_120</t>
  </si>
  <si>
    <t>PT125D1T0</t>
  </si>
  <si>
    <t>Guelph_121</t>
  </si>
  <si>
    <t>PT125H1T1</t>
  </si>
  <si>
    <t>Guelph_122</t>
  </si>
  <si>
    <t>PT125H2T1</t>
  </si>
  <si>
    <t>Guelph_123</t>
  </si>
  <si>
    <t>PT125D1T1</t>
  </si>
  <si>
    <t>Guelph_124</t>
  </si>
  <si>
    <t>PT131H1T0</t>
  </si>
  <si>
    <t>Guelph_125</t>
  </si>
  <si>
    <t>PT131H2T0</t>
  </si>
  <si>
    <t>Guelph_126</t>
  </si>
  <si>
    <t>PT131D1T0</t>
  </si>
  <si>
    <t>Guelph_127</t>
  </si>
  <si>
    <t>PT131H1T1</t>
  </si>
  <si>
    <t>Guelph_128</t>
  </si>
  <si>
    <t>PT131H2T1</t>
  </si>
  <si>
    <t>Guelph_129</t>
  </si>
  <si>
    <t>PT131D1T1</t>
  </si>
  <si>
    <t>Guelph_130</t>
  </si>
  <si>
    <t>PT205H2T0</t>
  </si>
  <si>
    <t>Guelph_131</t>
  </si>
  <si>
    <t>PT205H4T0</t>
  </si>
  <si>
    <t>Guelph_132</t>
  </si>
  <si>
    <t>PT205H5T0</t>
  </si>
  <si>
    <t>Guelph_133</t>
  </si>
  <si>
    <t>PT205D1T0</t>
  </si>
  <si>
    <t>Guelph_134</t>
  </si>
  <si>
    <t>PT205H2T1</t>
  </si>
  <si>
    <t>Guelph_135</t>
  </si>
  <si>
    <t>PT205H4T1</t>
  </si>
  <si>
    <t>Guelph_136</t>
  </si>
  <si>
    <t>PT205H5T1</t>
  </si>
  <si>
    <t>Guelph_137</t>
  </si>
  <si>
    <t>PT205D1T1</t>
  </si>
  <si>
    <t>Guelph_138</t>
  </si>
  <si>
    <t>PT218H1T0</t>
  </si>
  <si>
    <t>Guelph_139</t>
  </si>
  <si>
    <t>PT218D1T0</t>
  </si>
  <si>
    <t>Guelph_140</t>
  </si>
  <si>
    <t>PT218H1T1</t>
  </si>
  <si>
    <t>Guelph_141</t>
  </si>
  <si>
    <t>PT218D1T1</t>
  </si>
  <si>
    <t>Guelph_142</t>
  </si>
  <si>
    <t>PT221H1T0</t>
  </si>
  <si>
    <t>Guelph_143</t>
  </si>
  <si>
    <t>PT221H2T0</t>
  </si>
  <si>
    <t>Guelph_144</t>
  </si>
  <si>
    <t>PT221D1T0</t>
  </si>
  <si>
    <t>Guelph_145</t>
  </si>
  <si>
    <t>PT221H1T1</t>
  </si>
  <si>
    <t>Guelph_146</t>
  </si>
  <si>
    <t>PT221H2T1</t>
  </si>
  <si>
    <t>Guelph_147</t>
  </si>
  <si>
    <t>PT221D1T1</t>
  </si>
  <si>
    <t>Guelph_NC1</t>
  </si>
  <si>
    <t>N/A</t>
  </si>
  <si>
    <t>Negative Control</t>
  </si>
  <si>
    <t>Guelph_NC2</t>
  </si>
  <si>
    <t>RW_1</t>
  </si>
  <si>
    <t>RW_2</t>
  </si>
  <si>
    <t>RW_3</t>
  </si>
  <si>
    <t>RW_4</t>
  </si>
  <si>
    <t>RW_5</t>
  </si>
  <si>
    <t>RW_6</t>
  </si>
  <si>
    <t>RW_7</t>
  </si>
  <si>
    <t>RW_8</t>
  </si>
  <si>
    <t>RW_9</t>
  </si>
  <si>
    <t>RW_10</t>
  </si>
  <si>
    <t>RW_11</t>
  </si>
  <si>
    <t>RW_12</t>
  </si>
  <si>
    <t>RW_13</t>
  </si>
  <si>
    <t>RW_14</t>
  </si>
  <si>
    <t>RW_15</t>
  </si>
  <si>
    <t>RW_16</t>
  </si>
  <si>
    <t>RW_17</t>
  </si>
  <si>
    <t>RW_18</t>
  </si>
  <si>
    <t>RW_19</t>
  </si>
  <si>
    <t>RW_20</t>
  </si>
  <si>
    <t>RW_21</t>
  </si>
  <si>
    <t>RW_22</t>
  </si>
  <si>
    <t>RW_23</t>
  </si>
  <si>
    <t>RW_24</t>
  </si>
  <si>
    <t>RW_25</t>
  </si>
  <si>
    <t>RW_26</t>
  </si>
  <si>
    <t>RW_27</t>
  </si>
  <si>
    <t>RW_28</t>
  </si>
  <si>
    <t>RW_29</t>
  </si>
  <si>
    <t>RW_30</t>
  </si>
  <si>
    <t>RW_31</t>
  </si>
  <si>
    <t>RW_32</t>
  </si>
  <si>
    <t>RW_33</t>
  </si>
  <si>
    <t>RW_34</t>
  </si>
  <si>
    <t>RW_35</t>
  </si>
  <si>
    <t>RW_36</t>
  </si>
  <si>
    <t>RW_37</t>
  </si>
  <si>
    <t>RW_38</t>
  </si>
  <si>
    <t>RW_39</t>
  </si>
  <si>
    <t>RW_40</t>
  </si>
  <si>
    <t>RW_41</t>
  </si>
  <si>
    <t>RW_42</t>
  </si>
  <si>
    <t>RW_43</t>
  </si>
  <si>
    <t>RW_44</t>
  </si>
  <si>
    <t>RW_45</t>
  </si>
  <si>
    <t>RW_46</t>
  </si>
  <si>
    <t>RW_47</t>
  </si>
  <si>
    <t>RW_48</t>
  </si>
  <si>
    <t>RW_49</t>
  </si>
  <si>
    <t>RW_50</t>
  </si>
  <si>
    <t>RW_51</t>
  </si>
  <si>
    <t>RW_52</t>
  </si>
  <si>
    <t>RW_53</t>
  </si>
  <si>
    <t>RW_54</t>
  </si>
  <si>
    <t>RW_55</t>
  </si>
  <si>
    <t>RW_56</t>
  </si>
  <si>
    <t>RW_57</t>
  </si>
  <si>
    <t>RW_58</t>
  </si>
  <si>
    <t>RW_59</t>
  </si>
  <si>
    <t>RW_60</t>
  </si>
  <si>
    <t>RW_61</t>
  </si>
  <si>
    <t>RW_62</t>
  </si>
  <si>
    <t>RW_63</t>
  </si>
  <si>
    <t>RW_64</t>
  </si>
  <si>
    <t>RW_65</t>
  </si>
  <si>
    <t>RW_66</t>
  </si>
  <si>
    <t>RW_67</t>
  </si>
  <si>
    <t>RW_68</t>
  </si>
  <si>
    <t>RW_69</t>
  </si>
  <si>
    <t>RW_70</t>
  </si>
  <si>
    <t>RW_71</t>
  </si>
  <si>
    <t>RW_72</t>
  </si>
  <si>
    <t>RW_73</t>
  </si>
  <si>
    <t>RW_74</t>
  </si>
  <si>
    <t>RW_75</t>
  </si>
  <si>
    <t>RW_76</t>
  </si>
  <si>
    <t>RW_77</t>
  </si>
  <si>
    <t>RW_78</t>
  </si>
  <si>
    <t>RW_79</t>
  </si>
  <si>
    <t>RW_80</t>
  </si>
  <si>
    <t>RW_81</t>
  </si>
  <si>
    <t>RW_82</t>
  </si>
  <si>
    <t>RW_83</t>
  </si>
  <si>
    <t>RW_84</t>
  </si>
  <si>
    <t>RW_85</t>
  </si>
  <si>
    <t>RW_86</t>
  </si>
  <si>
    <t>RW_87</t>
  </si>
  <si>
    <t>RW_88</t>
  </si>
  <si>
    <t>RW_89</t>
  </si>
  <si>
    <t>RW_90</t>
  </si>
  <si>
    <t>RW_91</t>
  </si>
  <si>
    <t>RW_92</t>
  </si>
  <si>
    <t>RW_93</t>
  </si>
  <si>
    <t>RW_94</t>
  </si>
  <si>
    <t>RW_95</t>
  </si>
  <si>
    <t>RW_96</t>
  </si>
  <si>
    <t>RW_97</t>
  </si>
  <si>
    <t>RW_98</t>
  </si>
  <si>
    <t>RW_99</t>
  </si>
  <si>
    <t>RW_100</t>
  </si>
  <si>
    <t>RW_101</t>
  </si>
  <si>
    <t>RW_102</t>
  </si>
  <si>
    <t>RW_103</t>
  </si>
  <si>
    <t>RW_104</t>
  </si>
  <si>
    <t>RW_105</t>
  </si>
  <si>
    <t>RW_106</t>
  </si>
  <si>
    <t>RW_107</t>
  </si>
  <si>
    <t>RW_108</t>
  </si>
  <si>
    <t>RW_109</t>
  </si>
  <si>
    <t>RW_110</t>
  </si>
  <si>
    <t>RW_111</t>
  </si>
  <si>
    <t>RW_112</t>
  </si>
  <si>
    <t>RW_113</t>
  </si>
  <si>
    <t>RW_114</t>
  </si>
  <si>
    <t>RW_115</t>
  </si>
  <si>
    <t>RW_116</t>
  </si>
  <si>
    <t>RW_117</t>
  </si>
  <si>
    <t>RW_118</t>
  </si>
  <si>
    <t>RW_119</t>
  </si>
  <si>
    <t>RW_120</t>
  </si>
  <si>
    <t>RW_121</t>
  </si>
  <si>
    <t>RW_122</t>
  </si>
  <si>
    <t>RW_123</t>
  </si>
  <si>
    <t>RW_124</t>
  </si>
  <si>
    <t>RW_125</t>
  </si>
  <si>
    <t>RW_126</t>
  </si>
  <si>
    <t>RW_127</t>
  </si>
  <si>
    <t>RW_128</t>
  </si>
  <si>
    <t>RW_129</t>
  </si>
  <si>
    <t>RW_130</t>
  </si>
  <si>
    <t>RW_131</t>
  </si>
  <si>
    <t>RW_132</t>
  </si>
  <si>
    <t>RW_133</t>
  </si>
  <si>
    <t>RW_134</t>
  </si>
  <si>
    <t>RW_135</t>
  </si>
  <si>
    <t>RW_136</t>
  </si>
  <si>
    <t>RW_137</t>
  </si>
  <si>
    <t>RW_138</t>
  </si>
  <si>
    <t>RW_139</t>
  </si>
  <si>
    <t>RW_140</t>
  </si>
  <si>
    <t>RW_141</t>
  </si>
  <si>
    <t>RW_142</t>
  </si>
  <si>
    <t>RW_143</t>
  </si>
  <si>
    <t>RW_144</t>
  </si>
  <si>
    <t>RW_145</t>
  </si>
  <si>
    <t>RW_146</t>
  </si>
  <si>
    <t>RW_147</t>
  </si>
  <si>
    <t>RW_NC</t>
  </si>
  <si>
    <t>Amt for Covaris (ng)</t>
  </si>
  <si>
    <t>Amt for Covaris (ul)</t>
  </si>
  <si>
    <t>TE to volume (130ul)</t>
  </si>
  <si>
    <t>Amt Beads (0.85 beads: sample) (ul)</t>
  </si>
  <si>
    <t>Resuspend Amt (ul)</t>
  </si>
  <si>
    <t>Percent 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</si>
</sst>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Arial"/>
      <family val="2"/>
    </font>
    <font>
      <i/>
      <sz val="11"/>
      <color rgb="FF9C0006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2C1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FFCE"/>
        <bgColor indexed="64"/>
      </patternFill>
    </fill>
    <fill>
      <patternFill patternType="solid">
        <fgColor theme="9" tint="0.39997558519241921"/>
        <bgColor rgb="FFE2EFDA"/>
      </patternFill>
    </fill>
    <fill>
      <patternFill patternType="solid">
        <fgColor rgb="FFFFFF00"/>
        <bgColor rgb="FFE2EFDA"/>
      </patternFill>
    </fill>
    <fill>
      <patternFill patternType="solid">
        <fgColor theme="8" tint="0.79998168889431442"/>
        <bgColor rgb="FFFFE598"/>
      </patternFill>
    </fill>
    <fill>
      <patternFill patternType="solid">
        <fgColor theme="8" tint="0.59999389629810485"/>
        <bgColor rgb="FFE2EFDA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0" tint="-0.14999847407452621"/>
        <bgColor rgb="FFE7E6E6"/>
      </patternFill>
    </fill>
    <fill>
      <patternFill patternType="solid">
        <fgColor theme="0" tint="-0.14999847407452621"/>
        <bgColor rgb="FFE2EFDA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3">
    <xf numFmtId="0" fontId="0" fillId="0" borderId="0" xfId="0"/>
    <xf numFmtId="0" fontId="7" fillId="0" borderId="0" xfId="2" applyFont="1" applyFill="1" applyAlignment="1">
      <alignment horizontal="center"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6" fillId="5" borderId="0" xfId="0" applyFont="1" applyFill="1" applyAlignment="1">
      <alignment horizontal="center" vertical="top" wrapText="1"/>
    </xf>
    <xf numFmtId="0" fontId="4" fillId="0" borderId="0" xfId="0" applyFont="1"/>
    <xf numFmtId="0" fontId="4" fillId="9" borderId="0" xfId="0" applyFont="1" applyFill="1" applyAlignment="1">
      <alignment horizontal="center"/>
    </xf>
    <xf numFmtId="2" fontId="0" fillId="7" borderId="0" xfId="0" applyNumberFormat="1" applyFill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5" fillId="6" borderId="0" xfId="0" applyFont="1" applyFill="1" applyAlignment="1">
      <alignment horizontal="center" wrapText="1"/>
    </xf>
    <xf numFmtId="0" fontId="9" fillId="13" borderId="0" xfId="0" applyFont="1" applyFill="1" applyAlignment="1">
      <alignment horizontal="center"/>
    </xf>
    <xf numFmtId="0" fontId="5" fillId="0" borderId="0" xfId="0" applyFont="1" applyAlignment="1">
      <alignment horizontal="center" vertical="top" wrapText="1"/>
    </xf>
    <xf numFmtId="14" fontId="0" fillId="0" borderId="0" xfId="0" applyNumberFormat="1" applyAlignment="1">
      <alignment horizontal="center"/>
    </xf>
    <xf numFmtId="9" fontId="0" fillId="0" borderId="0" xfId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top"/>
    </xf>
    <xf numFmtId="0" fontId="11" fillId="0" borderId="0" xfId="3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top" wrapText="1"/>
    </xf>
    <xf numFmtId="0" fontId="9" fillId="17" borderId="0" xfId="0" applyFont="1" applyFill="1" applyAlignment="1">
      <alignment horizontal="center" vertical="top" wrapText="1"/>
    </xf>
    <xf numFmtId="0" fontId="9" fillId="18" borderId="0" xfId="0" applyFont="1" applyFill="1" applyAlignment="1">
      <alignment horizontal="center" vertical="top"/>
    </xf>
    <xf numFmtId="0" fontId="5" fillId="5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9" fillId="16" borderId="0" xfId="0" applyFont="1" applyFill="1" applyAlignment="1">
      <alignment horizontal="center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2C1FF"/>
      <color rgb="FFFCF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0DC9-5ADC-C841-9B11-D7E4131A2FCF}">
  <dimension ref="A1:S18"/>
  <sheetViews>
    <sheetView tabSelected="1" topLeftCell="A5" workbookViewId="0">
      <selection activeCell="D27" sqref="D27"/>
    </sheetView>
  </sheetViews>
  <sheetFormatPr defaultColWidth="11" defaultRowHeight="15.75" x14ac:dyDescent="0.25"/>
  <sheetData>
    <row r="1" spans="1:19" s="14" customFormat="1" x14ac:dyDescent="0.25">
      <c r="A1" s="20" t="s">
        <v>0</v>
      </c>
      <c r="B1" s="34" t="s">
        <v>20</v>
      </c>
      <c r="C1" s="34"/>
      <c r="D1" s="35" t="s">
        <v>34</v>
      </c>
      <c r="E1" s="35"/>
      <c r="F1" s="35"/>
      <c r="G1" s="35"/>
      <c r="H1" s="35"/>
      <c r="I1" s="35"/>
      <c r="J1" s="36" t="s">
        <v>35</v>
      </c>
      <c r="K1" s="36"/>
      <c r="L1" s="36"/>
      <c r="M1" s="36"/>
      <c r="N1" s="37" t="s">
        <v>36</v>
      </c>
      <c r="O1" s="37"/>
      <c r="P1" s="37"/>
      <c r="Q1" s="37"/>
      <c r="R1" s="15"/>
    </row>
    <row r="2" spans="1:19" s="7" customFormat="1" ht="47.25" x14ac:dyDescent="0.25">
      <c r="A2" s="9" t="s">
        <v>1</v>
      </c>
      <c r="B2" s="9" t="s">
        <v>18</v>
      </c>
      <c r="C2" s="10" t="s">
        <v>19</v>
      </c>
      <c r="D2" s="8" t="s">
        <v>21</v>
      </c>
      <c r="E2" s="11" t="s">
        <v>22</v>
      </c>
      <c r="F2" s="11"/>
      <c r="G2" s="11" t="s">
        <v>23</v>
      </c>
      <c r="H2" s="8" t="s">
        <v>24</v>
      </c>
      <c r="I2" s="11" t="s">
        <v>25</v>
      </c>
      <c r="J2" s="13" t="s">
        <v>26</v>
      </c>
      <c r="K2" s="13" t="s">
        <v>27</v>
      </c>
      <c r="L2" s="9" t="s">
        <v>28</v>
      </c>
      <c r="M2" s="9" t="s">
        <v>29</v>
      </c>
      <c r="N2" s="9" t="s">
        <v>30</v>
      </c>
      <c r="O2" s="9" t="s">
        <v>31</v>
      </c>
      <c r="P2" s="9" t="s">
        <v>32</v>
      </c>
      <c r="Q2" s="9" t="s">
        <v>33</v>
      </c>
      <c r="R2" s="9" t="s">
        <v>508</v>
      </c>
      <c r="S2" s="7" t="s">
        <v>37</v>
      </c>
    </row>
    <row r="3" spans="1:19" x14ac:dyDescent="0.25">
      <c r="A3" s="1" t="s">
        <v>2</v>
      </c>
      <c r="B3" s="2">
        <v>18.869999999999997</v>
      </c>
      <c r="C3" s="3">
        <v>28.210649999999998</v>
      </c>
      <c r="D3">
        <v>5</v>
      </c>
      <c r="E3" s="16">
        <v>12</v>
      </c>
      <c r="F3" s="16">
        <f>E3*1000</f>
        <v>12000</v>
      </c>
      <c r="G3" s="5">
        <f>(1000*E3)/B3</f>
        <v>635.93004769475363</v>
      </c>
      <c r="H3" s="6">
        <f>130*D3*1.03</f>
        <v>669.5</v>
      </c>
      <c r="I3" s="5">
        <f>H3-G3</f>
        <v>33.569952305246375</v>
      </c>
      <c r="J3" s="4">
        <f>H3</f>
        <v>669.5</v>
      </c>
      <c r="K3" s="4">
        <f>J3*0.75</f>
        <v>502.125</v>
      </c>
      <c r="L3" s="4">
        <v>50</v>
      </c>
      <c r="M3" s="4">
        <f>L3*D3</f>
        <v>250</v>
      </c>
      <c r="N3" s="4">
        <v>14.9</v>
      </c>
      <c r="O3" s="4">
        <v>352</v>
      </c>
      <c r="P3" s="4">
        <v>65.2</v>
      </c>
      <c r="Q3" s="17">
        <f>N3*M3</f>
        <v>3725</v>
      </c>
      <c r="R3" s="17">
        <f>Q3/F3 * 100</f>
        <v>31.041666666666668</v>
      </c>
    </row>
    <row r="4" spans="1:19" x14ac:dyDescent="0.25">
      <c r="A4" s="1" t="s">
        <v>3</v>
      </c>
      <c r="B4" s="2">
        <v>9.56</v>
      </c>
      <c r="C4" s="3">
        <v>14.292200000000001</v>
      </c>
      <c r="D4">
        <v>7</v>
      </c>
      <c r="E4" s="16">
        <v>8.9610000000000003</v>
      </c>
      <c r="F4" s="16">
        <f t="shared" ref="F4:F18" si="0">E4*1000</f>
        <v>8961</v>
      </c>
      <c r="G4" s="5">
        <f t="shared" ref="G4:G18" si="1">(1000*E4)/B4</f>
        <v>937.34309623430954</v>
      </c>
      <c r="H4" s="6">
        <f t="shared" ref="H4:H18" si="2">130*D4*1.03</f>
        <v>937.30000000000007</v>
      </c>
      <c r="I4" s="5">
        <f t="shared" ref="I4:I18" si="3">H4-G4</f>
        <v>-4.3096234309473402E-2</v>
      </c>
      <c r="J4" s="4">
        <f t="shared" ref="J4:J18" si="4">H4</f>
        <v>937.30000000000007</v>
      </c>
      <c r="K4" s="4">
        <f t="shared" ref="K4:K18" si="5">J4*0.75</f>
        <v>702.97500000000002</v>
      </c>
      <c r="L4" s="4">
        <v>50</v>
      </c>
      <c r="M4" s="4">
        <f t="shared" ref="M4:M18" si="6">L4*D4</f>
        <v>350</v>
      </c>
      <c r="N4" s="4">
        <v>19.2</v>
      </c>
      <c r="O4" s="4">
        <v>391</v>
      </c>
      <c r="P4" s="4">
        <v>75.7</v>
      </c>
      <c r="Q4" s="17">
        <f t="shared" ref="Q4:Q17" si="7">N4*M4</f>
        <v>6720</v>
      </c>
      <c r="R4" s="17">
        <f t="shared" ref="R4:R18" si="8">Q4/F4 * 100</f>
        <v>74.991630398393042</v>
      </c>
    </row>
    <row r="5" spans="1:19" x14ac:dyDescent="0.25">
      <c r="A5" s="1" t="s">
        <v>4</v>
      </c>
      <c r="B5" s="2">
        <v>16.260000000000002</v>
      </c>
      <c r="C5" s="3">
        <v>24.308700000000002</v>
      </c>
      <c r="D5">
        <v>4</v>
      </c>
      <c r="E5" s="16">
        <v>8.7089999999999996</v>
      </c>
      <c r="F5" s="16">
        <f t="shared" si="0"/>
        <v>8709</v>
      </c>
      <c r="G5" s="5">
        <f t="shared" si="1"/>
        <v>535.60885608856086</v>
      </c>
      <c r="H5" s="6">
        <f t="shared" si="2"/>
        <v>535.6</v>
      </c>
      <c r="I5" s="5">
        <f t="shared" si="3"/>
        <v>-8.8560885608330864E-3</v>
      </c>
      <c r="J5" s="4">
        <f t="shared" si="4"/>
        <v>535.6</v>
      </c>
      <c r="K5" s="4">
        <f t="shared" si="5"/>
        <v>401.70000000000005</v>
      </c>
      <c r="L5" s="4">
        <v>50</v>
      </c>
      <c r="M5" s="4">
        <f t="shared" si="6"/>
        <v>200</v>
      </c>
      <c r="N5" s="4">
        <v>16</v>
      </c>
      <c r="O5" s="4">
        <v>371</v>
      </c>
      <c r="P5" s="4">
        <v>66.5</v>
      </c>
      <c r="Q5" s="17">
        <f t="shared" si="7"/>
        <v>3200</v>
      </c>
      <c r="R5" s="17">
        <f t="shared" si="8"/>
        <v>36.743598576185555</v>
      </c>
    </row>
    <row r="6" spans="1:19" x14ac:dyDescent="0.25">
      <c r="A6" s="1" t="s">
        <v>5</v>
      </c>
      <c r="B6" s="2">
        <v>18.68</v>
      </c>
      <c r="C6" s="3">
        <v>27.926599999999997</v>
      </c>
      <c r="D6">
        <v>4</v>
      </c>
      <c r="E6" s="16">
        <v>9</v>
      </c>
      <c r="F6" s="16">
        <f t="shared" si="0"/>
        <v>9000</v>
      </c>
      <c r="G6" s="5">
        <f t="shared" si="1"/>
        <v>481.79871520342613</v>
      </c>
      <c r="H6" s="6">
        <f t="shared" si="2"/>
        <v>535.6</v>
      </c>
      <c r="I6" s="5">
        <f t="shared" si="3"/>
        <v>53.801284796573896</v>
      </c>
      <c r="J6" s="4">
        <f t="shared" si="4"/>
        <v>535.6</v>
      </c>
      <c r="K6" s="4">
        <f t="shared" si="5"/>
        <v>401.70000000000005</v>
      </c>
      <c r="L6" s="4">
        <v>50</v>
      </c>
      <c r="M6" s="4">
        <f t="shared" si="6"/>
        <v>200</v>
      </c>
      <c r="N6" s="4">
        <v>17.600000000000001</v>
      </c>
      <c r="O6" s="4">
        <v>354</v>
      </c>
      <c r="P6" s="4">
        <v>76.400000000000006</v>
      </c>
      <c r="Q6" s="17">
        <f t="shared" si="7"/>
        <v>3520.0000000000005</v>
      </c>
      <c r="R6" s="17">
        <f t="shared" si="8"/>
        <v>39.111111111111121</v>
      </c>
    </row>
    <row r="7" spans="1:19" x14ac:dyDescent="0.25">
      <c r="A7" s="1" t="s">
        <v>6</v>
      </c>
      <c r="B7" s="2">
        <v>146.10000000000002</v>
      </c>
      <c r="C7" s="3">
        <v>86.929500000000019</v>
      </c>
      <c r="D7">
        <v>3</v>
      </c>
      <c r="E7" s="16">
        <v>9</v>
      </c>
      <c r="F7" s="16">
        <f t="shared" si="0"/>
        <v>9000</v>
      </c>
      <c r="G7" s="5">
        <f t="shared" si="1"/>
        <v>61.601642710472269</v>
      </c>
      <c r="H7" s="6">
        <f t="shared" si="2"/>
        <v>401.7</v>
      </c>
      <c r="I7" s="5">
        <f t="shared" si="3"/>
        <v>340.09835728952771</v>
      </c>
      <c r="J7" s="4">
        <f t="shared" si="4"/>
        <v>401.7</v>
      </c>
      <c r="K7" s="4">
        <f t="shared" si="5"/>
        <v>301.27499999999998</v>
      </c>
      <c r="L7" s="4">
        <v>50</v>
      </c>
      <c r="M7" s="4">
        <f t="shared" si="6"/>
        <v>150</v>
      </c>
      <c r="N7" s="4">
        <v>19.600000000000001</v>
      </c>
      <c r="O7" s="4">
        <v>365</v>
      </c>
      <c r="P7" s="4">
        <v>82.5</v>
      </c>
      <c r="Q7" s="17">
        <f t="shared" si="7"/>
        <v>2940</v>
      </c>
      <c r="R7" s="17">
        <f t="shared" si="8"/>
        <v>32.666666666666664</v>
      </c>
    </row>
    <row r="8" spans="1:19" x14ac:dyDescent="0.25">
      <c r="A8" s="1" t="s">
        <v>7</v>
      </c>
      <c r="B8" s="2">
        <v>510</v>
      </c>
      <c r="C8" s="3">
        <v>456.45</v>
      </c>
      <c r="D8">
        <v>2</v>
      </c>
      <c r="E8" s="16">
        <v>9</v>
      </c>
      <c r="F8" s="16">
        <f t="shared" si="0"/>
        <v>9000</v>
      </c>
      <c r="G8" s="5">
        <f t="shared" si="1"/>
        <v>17.647058823529413</v>
      </c>
      <c r="H8" s="6">
        <f t="shared" si="2"/>
        <v>267.8</v>
      </c>
      <c r="I8" s="5">
        <f t="shared" si="3"/>
        <v>250.15294117647059</v>
      </c>
      <c r="J8" s="4">
        <f t="shared" si="4"/>
        <v>267.8</v>
      </c>
      <c r="K8" s="4">
        <f t="shared" si="5"/>
        <v>200.85000000000002</v>
      </c>
      <c r="L8" s="4">
        <v>50</v>
      </c>
      <c r="M8" s="4">
        <f t="shared" si="6"/>
        <v>100</v>
      </c>
      <c r="N8" s="4">
        <v>29.7</v>
      </c>
      <c r="O8" s="4">
        <v>337</v>
      </c>
      <c r="P8" s="4">
        <v>136</v>
      </c>
      <c r="Q8" s="17">
        <f t="shared" si="7"/>
        <v>2970</v>
      </c>
      <c r="R8" s="17">
        <f t="shared" si="8"/>
        <v>33</v>
      </c>
    </row>
    <row r="9" spans="1:19" x14ac:dyDescent="0.25">
      <c r="A9" s="1" t="s">
        <v>8</v>
      </c>
      <c r="B9" s="2">
        <v>34</v>
      </c>
      <c r="C9" s="3">
        <v>25.33</v>
      </c>
      <c r="D9">
        <v>2</v>
      </c>
      <c r="E9" s="16">
        <v>9</v>
      </c>
      <c r="F9" s="16">
        <f t="shared" si="0"/>
        <v>9000</v>
      </c>
      <c r="G9" s="5">
        <f t="shared" si="1"/>
        <v>264.70588235294116</v>
      </c>
      <c r="H9" s="6">
        <f t="shared" si="2"/>
        <v>267.8</v>
      </c>
      <c r="I9" s="5">
        <f t="shared" si="3"/>
        <v>3.0941176470588516</v>
      </c>
      <c r="J9" s="4">
        <f t="shared" si="4"/>
        <v>267.8</v>
      </c>
      <c r="K9" s="4">
        <f t="shared" si="5"/>
        <v>200.85000000000002</v>
      </c>
      <c r="L9" s="4">
        <v>50</v>
      </c>
      <c r="M9" s="4">
        <f t="shared" si="6"/>
        <v>100</v>
      </c>
      <c r="N9" s="4">
        <v>32.6</v>
      </c>
      <c r="O9" s="4">
        <v>324</v>
      </c>
      <c r="P9" s="4">
        <v>155</v>
      </c>
      <c r="Q9" s="17">
        <f t="shared" si="7"/>
        <v>3260</v>
      </c>
      <c r="R9" s="17">
        <f t="shared" si="8"/>
        <v>36.222222222222221</v>
      </c>
    </row>
    <row r="10" spans="1:19" x14ac:dyDescent="0.25">
      <c r="A10" s="1" t="s">
        <v>9</v>
      </c>
      <c r="B10" s="2">
        <v>291</v>
      </c>
      <c r="C10" s="3">
        <v>216.79499999999999</v>
      </c>
      <c r="D10">
        <v>2</v>
      </c>
      <c r="E10" s="16">
        <v>9</v>
      </c>
      <c r="F10" s="16">
        <f t="shared" si="0"/>
        <v>9000</v>
      </c>
      <c r="G10" s="5">
        <f t="shared" si="1"/>
        <v>30.927835051546392</v>
      </c>
      <c r="H10" s="6">
        <f t="shared" si="2"/>
        <v>267.8</v>
      </c>
      <c r="I10" s="5">
        <f t="shared" si="3"/>
        <v>236.87216494845362</v>
      </c>
      <c r="J10" s="4">
        <f t="shared" si="4"/>
        <v>267.8</v>
      </c>
      <c r="K10" s="4">
        <f t="shared" si="5"/>
        <v>200.85000000000002</v>
      </c>
      <c r="L10" s="4">
        <v>50</v>
      </c>
      <c r="M10" s="4">
        <f t="shared" si="6"/>
        <v>100</v>
      </c>
      <c r="N10" s="4">
        <v>32.4</v>
      </c>
      <c r="O10" s="4">
        <v>328</v>
      </c>
      <c r="P10" s="4">
        <v>152</v>
      </c>
      <c r="Q10" s="17">
        <f t="shared" si="7"/>
        <v>3240</v>
      </c>
      <c r="R10" s="17">
        <f t="shared" si="8"/>
        <v>36</v>
      </c>
    </row>
    <row r="11" spans="1:19" x14ac:dyDescent="0.25">
      <c r="A11" s="1" t="s">
        <v>10</v>
      </c>
      <c r="B11" s="2">
        <v>236.99999999999997</v>
      </c>
      <c r="C11" s="3">
        <v>354.31499999999994</v>
      </c>
      <c r="D11">
        <v>3</v>
      </c>
      <c r="E11" s="16">
        <v>9</v>
      </c>
      <c r="F11" s="16">
        <f t="shared" si="0"/>
        <v>9000</v>
      </c>
      <c r="G11" s="5">
        <f t="shared" si="1"/>
        <v>37.974683544303801</v>
      </c>
      <c r="H11" s="6">
        <f t="shared" si="2"/>
        <v>401.7</v>
      </c>
      <c r="I11" s="5">
        <f t="shared" si="3"/>
        <v>363.7253164556962</v>
      </c>
      <c r="J11" s="4">
        <f t="shared" si="4"/>
        <v>401.7</v>
      </c>
      <c r="K11" s="4">
        <f t="shared" si="5"/>
        <v>301.27499999999998</v>
      </c>
      <c r="L11" s="4">
        <v>50</v>
      </c>
      <c r="M11" s="4">
        <f t="shared" si="6"/>
        <v>150</v>
      </c>
      <c r="N11" s="4">
        <v>19.3</v>
      </c>
      <c r="O11" s="4">
        <v>375</v>
      </c>
      <c r="P11" s="4">
        <v>78.900000000000006</v>
      </c>
      <c r="Q11" s="17">
        <f t="shared" si="7"/>
        <v>2895</v>
      </c>
      <c r="R11" s="17">
        <f t="shared" si="8"/>
        <v>32.166666666666664</v>
      </c>
    </row>
    <row r="12" spans="1:19" x14ac:dyDescent="0.25">
      <c r="A12" s="1" t="s">
        <v>11</v>
      </c>
      <c r="B12" s="2">
        <v>115.69999999999999</v>
      </c>
      <c r="C12" s="3">
        <v>172.97149999999996</v>
      </c>
      <c r="D12">
        <v>2</v>
      </c>
      <c r="E12" s="16">
        <v>9</v>
      </c>
      <c r="F12" s="16">
        <f t="shared" si="0"/>
        <v>9000</v>
      </c>
      <c r="G12" s="5">
        <f t="shared" si="1"/>
        <v>77.787381158167676</v>
      </c>
      <c r="H12" s="6">
        <f t="shared" si="2"/>
        <v>267.8</v>
      </c>
      <c r="I12" s="5">
        <f t="shared" si="3"/>
        <v>190.01261884183234</v>
      </c>
      <c r="J12" s="4">
        <f t="shared" si="4"/>
        <v>267.8</v>
      </c>
      <c r="K12" s="4">
        <f t="shared" si="5"/>
        <v>200.85000000000002</v>
      </c>
      <c r="L12" s="4">
        <v>50</v>
      </c>
      <c r="M12" s="4">
        <f t="shared" si="6"/>
        <v>100</v>
      </c>
      <c r="N12" s="4">
        <v>34</v>
      </c>
      <c r="O12" s="4">
        <v>330</v>
      </c>
      <c r="P12" s="4">
        <v>158</v>
      </c>
      <c r="Q12" s="17">
        <f t="shared" si="7"/>
        <v>3400</v>
      </c>
      <c r="R12" s="17">
        <f t="shared" si="8"/>
        <v>37.777777777777779</v>
      </c>
    </row>
    <row r="13" spans="1:19" x14ac:dyDescent="0.25">
      <c r="A13" s="1" t="s">
        <v>12</v>
      </c>
      <c r="B13" s="2">
        <v>42.6</v>
      </c>
      <c r="C13" s="3">
        <v>44.517000000000003</v>
      </c>
      <c r="D13">
        <v>2</v>
      </c>
      <c r="E13" s="16">
        <v>9</v>
      </c>
      <c r="F13" s="16">
        <f t="shared" si="0"/>
        <v>9000</v>
      </c>
      <c r="G13" s="5">
        <f t="shared" si="1"/>
        <v>211.26760563380282</v>
      </c>
      <c r="H13" s="6">
        <f t="shared" si="2"/>
        <v>267.8</v>
      </c>
      <c r="I13" s="5">
        <f t="shared" si="3"/>
        <v>56.532394366197195</v>
      </c>
      <c r="J13" s="4">
        <f t="shared" si="4"/>
        <v>267.8</v>
      </c>
      <c r="K13" s="4">
        <f t="shared" si="5"/>
        <v>200.85000000000002</v>
      </c>
      <c r="L13" s="4">
        <v>50</v>
      </c>
      <c r="M13" s="4">
        <f t="shared" si="6"/>
        <v>100</v>
      </c>
      <c r="N13" s="4">
        <v>34</v>
      </c>
      <c r="O13" s="4">
        <v>350</v>
      </c>
      <c r="P13" s="4">
        <v>150</v>
      </c>
      <c r="Q13" s="17">
        <f t="shared" si="7"/>
        <v>3400</v>
      </c>
      <c r="R13" s="17">
        <f t="shared" si="8"/>
        <v>37.777777777777779</v>
      </c>
    </row>
    <row r="14" spans="1:19" x14ac:dyDescent="0.25">
      <c r="A14" s="1" t="s">
        <v>13</v>
      </c>
      <c r="B14" s="2">
        <v>25</v>
      </c>
      <c r="C14" s="3">
        <v>18.625</v>
      </c>
      <c r="D14">
        <v>3</v>
      </c>
      <c r="E14" s="16">
        <v>9</v>
      </c>
      <c r="F14" s="16">
        <f t="shared" si="0"/>
        <v>9000</v>
      </c>
      <c r="G14" s="5">
        <f t="shared" si="1"/>
        <v>360</v>
      </c>
      <c r="H14" s="6">
        <f t="shared" si="2"/>
        <v>401.7</v>
      </c>
      <c r="I14" s="5">
        <f t="shared" si="3"/>
        <v>41.699999999999989</v>
      </c>
      <c r="J14" s="4">
        <f t="shared" si="4"/>
        <v>401.7</v>
      </c>
      <c r="K14" s="4">
        <f t="shared" si="5"/>
        <v>301.27499999999998</v>
      </c>
      <c r="L14" s="4">
        <v>50</v>
      </c>
      <c r="M14" s="4">
        <f t="shared" si="6"/>
        <v>150</v>
      </c>
      <c r="N14" s="4">
        <v>24.9</v>
      </c>
      <c r="O14" s="4">
        <v>373</v>
      </c>
      <c r="P14" s="4">
        <v>103</v>
      </c>
      <c r="Q14" s="17">
        <f t="shared" si="7"/>
        <v>3735</v>
      </c>
      <c r="R14" s="17">
        <f t="shared" si="8"/>
        <v>41.5</v>
      </c>
    </row>
    <row r="15" spans="1:19" x14ac:dyDescent="0.25">
      <c r="A15" s="1" t="s">
        <v>14</v>
      </c>
      <c r="B15" s="2">
        <v>538</v>
      </c>
      <c r="C15" s="3">
        <v>723.61</v>
      </c>
      <c r="D15">
        <v>3</v>
      </c>
      <c r="E15" s="16">
        <v>9</v>
      </c>
      <c r="F15" s="16">
        <f t="shared" si="0"/>
        <v>9000</v>
      </c>
      <c r="G15" s="5">
        <f t="shared" si="1"/>
        <v>16.728624535315983</v>
      </c>
      <c r="H15" s="6">
        <f t="shared" si="2"/>
        <v>401.7</v>
      </c>
      <c r="I15" s="5">
        <f t="shared" si="3"/>
        <v>384.971375464684</v>
      </c>
      <c r="J15" s="4">
        <f t="shared" si="4"/>
        <v>401.7</v>
      </c>
      <c r="K15" s="4">
        <f t="shared" si="5"/>
        <v>301.27499999999998</v>
      </c>
      <c r="L15" s="4">
        <v>50</v>
      </c>
      <c r="M15" s="4">
        <f t="shared" si="6"/>
        <v>150</v>
      </c>
      <c r="N15" s="4">
        <v>20.6</v>
      </c>
      <c r="O15" s="4">
        <v>364</v>
      </c>
      <c r="P15" s="4">
        <v>86.9</v>
      </c>
      <c r="Q15" s="17">
        <f t="shared" si="7"/>
        <v>3090</v>
      </c>
      <c r="R15" s="17">
        <f t="shared" si="8"/>
        <v>34.333333333333336</v>
      </c>
    </row>
    <row r="16" spans="1:19" x14ac:dyDescent="0.25">
      <c r="A16" s="1" t="s">
        <v>15</v>
      </c>
      <c r="B16" s="2">
        <v>182.4</v>
      </c>
      <c r="C16" s="3">
        <v>245.328</v>
      </c>
      <c r="D16">
        <v>2</v>
      </c>
      <c r="E16" s="16">
        <v>9</v>
      </c>
      <c r="F16" s="16">
        <f t="shared" si="0"/>
        <v>9000</v>
      </c>
      <c r="G16" s="5">
        <f t="shared" si="1"/>
        <v>49.34210526315789</v>
      </c>
      <c r="H16" s="6">
        <f t="shared" si="2"/>
        <v>267.8</v>
      </c>
      <c r="I16" s="5">
        <f t="shared" si="3"/>
        <v>218.45789473684212</v>
      </c>
      <c r="J16" s="4">
        <f t="shared" si="4"/>
        <v>267.8</v>
      </c>
      <c r="K16" s="4">
        <f t="shared" si="5"/>
        <v>200.85000000000002</v>
      </c>
      <c r="L16" s="4">
        <v>50</v>
      </c>
      <c r="M16" s="4">
        <f t="shared" si="6"/>
        <v>100</v>
      </c>
      <c r="N16" s="19">
        <v>58.7</v>
      </c>
      <c r="O16" s="4">
        <v>333</v>
      </c>
      <c r="P16" s="4">
        <v>271</v>
      </c>
      <c r="Q16" s="17">
        <f t="shared" si="7"/>
        <v>5870</v>
      </c>
      <c r="R16" s="17">
        <f t="shared" si="8"/>
        <v>65.222222222222229</v>
      </c>
    </row>
    <row r="17" spans="1:19" x14ac:dyDescent="0.25">
      <c r="A17" s="1" t="s">
        <v>16</v>
      </c>
      <c r="B17" s="2">
        <v>294</v>
      </c>
      <c r="C17" s="3">
        <v>439.53</v>
      </c>
      <c r="D17">
        <v>2</v>
      </c>
      <c r="E17" s="16">
        <v>9</v>
      </c>
      <c r="F17" s="16">
        <f t="shared" si="0"/>
        <v>9000</v>
      </c>
      <c r="G17" s="5">
        <f t="shared" si="1"/>
        <v>30.612244897959183</v>
      </c>
      <c r="H17" s="6">
        <f t="shared" si="2"/>
        <v>267.8</v>
      </c>
      <c r="I17" s="5">
        <f t="shared" si="3"/>
        <v>237.18775510204082</v>
      </c>
      <c r="J17" s="4">
        <f t="shared" si="4"/>
        <v>267.8</v>
      </c>
      <c r="K17" s="4">
        <f t="shared" si="5"/>
        <v>200.85000000000002</v>
      </c>
      <c r="L17" s="4">
        <v>50</v>
      </c>
      <c r="M17" s="4">
        <f t="shared" si="6"/>
        <v>100</v>
      </c>
      <c r="N17" s="18">
        <v>81.099999999999994</v>
      </c>
      <c r="O17" s="4">
        <v>323</v>
      </c>
      <c r="P17" s="4">
        <v>386</v>
      </c>
      <c r="Q17" s="17">
        <f t="shared" si="7"/>
        <v>8109.9999999999991</v>
      </c>
      <c r="R17" s="17">
        <f t="shared" si="8"/>
        <v>90.1111111111111</v>
      </c>
    </row>
    <row r="18" spans="1:19" x14ac:dyDescent="0.25">
      <c r="A18" s="1" t="s">
        <v>17</v>
      </c>
      <c r="B18" s="2">
        <v>201.2</v>
      </c>
      <c r="C18" s="3">
        <v>300.79399999999998</v>
      </c>
      <c r="D18">
        <v>2</v>
      </c>
      <c r="E18" s="16">
        <v>9</v>
      </c>
      <c r="F18" s="16">
        <f t="shared" si="0"/>
        <v>9000</v>
      </c>
      <c r="G18" s="5">
        <f t="shared" si="1"/>
        <v>44.731610337972171</v>
      </c>
      <c r="H18" s="6">
        <f t="shared" si="2"/>
        <v>267.8</v>
      </c>
      <c r="I18" s="5">
        <f t="shared" si="3"/>
        <v>223.06838966202784</v>
      </c>
      <c r="J18" s="4">
        <f t="shared" si="4"/>
        <v>267.8</v>
      </c>
      <c r="K18" s="4">
        <f t="shared" si="5"/>
        <v>200.85000000000002</v>
      </c>
      <c r="L18" s="4">
        <v>50</v>
      </c>
      <c r="M18" s="4">
        <f t="shared" si="6"/>
        <v>100</v>
      </c>
      <c r="N18" s="18">
        <v>112</v>
      </c>
      <c r="O18" s="4">
        <v>320</v>
      </c>
      <c r="P18" s="4">
        <v>538</v>
      </c>
      <c r="Q18" s="17">
        <f>N18*M18</f>
        <v>11200</v>
      </c>
      <c r="R18" s="17">
        <f t="shared" si="8"/>
        <v>124.44444444444444</v>
      </c>
      <c r="S18" t="s">
        <v>38</v>
      </c>
    </row>
  </sheetData>
  <mergeCells count="4">
    <mergeCell ref="B1:C1"/>
    <mergeCell ref="D1:I1"/>
    <mergeCell ref="J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A202-DEB9-1F4F-B8B0-F7DD556B20AD}">
  <dimension ref="A1:T152"/>
  <sheetViews>
    <sheetView workbookViewId="0">
      <selection activeCell="Q24" sqref="Q24"/>
    </sheetView>
  </sheetViews>
  <sheetFormatPr defaultColWidth="11" defaultRowHeight="15.75" x14ac:dyDescent="0.25"/>
  <cols>
    <col min="1" max="1" width="10.875"/>
    <col min="2" max="2" width="13.125" customWidth="1"/>
    <col min="3" max="3" width="24.875" customWidth="1"/>
  </cols>
  <sheetData>
    <row r="1" spans="1:20" x14ac:dyDescent="0.25">
      <c r="A1" s="28" t="s">
        <v>0</v>
      </c>
      <c r="B1" s="38" t="s">
        <v>39</v>
      </c>
      <c r="C1" s="39"/>
      <c r="D1" s="39"/>
      <c r="E1" s="39"/>
      <c r="F1" s="39"/>
      <c r="G1" s="38" t="s">
        <v>40</v>
      </c>
      <c r="H1" s="39"/>
      <c r="I1" s="40" t="s">
        <v>41</v>
      </c>
      <c r="J1" s="40"/>
      <c r="K1" s="40"/>
      <c r="L1" s="21"/>
      <c r="M1" s="41" t="s">
        <v>34</v>
      </c>
      <c r="N1" s="41"/>
      <c r="O1" s="41"/>
      <c r="P1" s="42" t="s">
        <v>35</v>
      </c>
      <c r="Q1" s="42"/>
      <c r="R1" s="42"/>
      <c r="S1" s="29" t="s">
        <v>42</v>
      </c>
    </row>
    <row r="2" spans="1:20" ht="45" x14ac:dyDescent="0.25">
      <c r="A2" s="30" t="s">
        <v>43</v>
      </c>
      <c r="B2" s="31" t="s">
        <v>43</v>
      </c>
      <c r="C2" s="31" t="s">
        <v>44</v>
      </c>
      <c r="D2" s="31" t="s">
        <v>45</v>
      </c>
      <c r="E2" s="31" t="s">
        <v>46</v>
      </c>
      <c r="F2" s="31" t="s">
        <v>47</v>
      </c>
      <c r="G2" s="31" t="s">
        <v>48</v>
      </c>
      <c r="H2" s="31" t="s">
        <v>49</v>
      </c>
      <c r="I2" s="31" t="s">
        <v>50</v>
      </c>
      <c r="J2" s="31" t="s">
        <v>51</v>
      </c>
      <c r="K2" s="31" t="s">
        <v>49</v>
      </c>
      <c r="L2" s="32" t="s">
        <v>52</v>
      </c>
      <c r="M2" s="13" t="s">
        <v>503</v>
      </c>
      <c r="N2" s="13" t="s">
        <v>504</v>
      </c>
      <c r="O2" s="13" t="s">
        <v>505</v>
      </c>
      <c r="P2" s="13" t="s">
        <v>26</v>
      </c>
      <c r="Q2" s="13" t="s">
        <v>506</v>
      </c>
      <c r="R2" s="13" t="s">
        <v>507</v>
      </c>
      <c r="S2" s="33" t="s">
        <v>53</v>
      </c>
      <c r="T2" s="13" t="s">
        <v>508</v>
      </c>
    </row>
    <row r="3" spans="1:20" x14ac:dyDescent="0.25">
      <c r="A3" s="4" t="s">
        <v>355</v>
      </c>
      <c r="B3" s="4" t="s">
        <v>54</v>
      </c>
      <c r="C3" s="4" t="s">
        <v>55</v>
      </c>
      <c r="D3" s="22" t="s">
        <v>56</v>
      </c>
      <c r="E3" s="4" t="s">
        <v>57</v>
      </c>
      <c r="F3" s="4">
        <v>90</v>
      </c>
      <c r="G3" s="4">
        <v>8.34</v>
      </c>
      <c r="H3" s="4">
        <v>750.6</v>
      </c>
      <c r="I3" s="23">
        <v>44123</v>
      </c>
      <c r="J3" s="4">
        <v>8.93</v>
      </c>
      <c r="K3" s="4">
        <v>803.69999999999993</v>
      </c>
      <c r="L3" s="24">
        <f>K3/H3</f>
        <v>1.0707434052757792</v>
      </c>
      <c r="M3" s="12">
        <f t="shared" ref="M3:M34" si="0">K3</f>
        <v>803.69999999999993</v>
      </c>
      <c r="N3" s="4">
        <f t="shared" ref="N3:N50" si="1">F3-1</f>
        <v>89</v>
      </c>
      <c r="O3" s="4">
        <f t="shared" ref="O3" si="2">130-N3</f>
        <v>41</v>
      </c>
      <c r="P3" s="4">
        <v>130</v>
      </c>
      <c r="Q3" s="4">
        <f>P3*0.85</f>
        <v>110.5</v>
      </c>
      <c r="R3" s="4">
        <v>50</v>
      </c>
      <c r="S3" s="17">
        <v>293</v>
      </c>
      <c r="T3">
        <f>S3/M3*100</f>
        <v>36.456389199950237</v>
      </c>
    </row>
    <row r="4" spans="1:20" x14ac:dyDescent="0.25">
      <c r="A4" s="4" t="s">
        <v>356</v>
      </c>
      <c r="B4" s="4" t="s">
        <v>58</v>
      </c>
      <c r="C4" s="4" t="s">
        <v>59</v>
      </c>
      <c r="D4" s="22" t="s">
        <v>56</v>
      </c>
      <c r="E4" s="4" t="s">
        <v>57</v>
      </c>
      <c r="F4" s="4">
        <v>90</v>
      </c>
      <c r="G4" s="4">
        <v>22.4</v>
      </c>
      <c r="H4" s="4">
        <v>2015.9999999999998</v>
      </c>
      <c r="I4" s="23">
        <v>44123</v>
      </c>
      <c r="J4" s="4">
        <v>25.2</v>
      </c>
      <c r="K4" s="4">
        <v>2268</v>
      </c>
      <c r="L4" s="24">
        <f>K4/H4</f>
        <v>1.1250000000000002</v>
      </c>
      <c r="M4" s="12">
        <f t="shared" si="0"/>
        <v>2268</v>
      </c>
      <c r="N4" s="4">
        <f t="shared" si="1"/>
        <v>89</v>
      </c>
      <c r="O4" s="4">
        <f t="shared" ref="O4:O50" si="3">130-N4</f>
        <v>41</v>
      </c>
      <c r="P4" s="4">
        <v>130</v>
      </c>
      <c r="Q4" s="4">
        <f t="shared" ref="Q4:Q67" si="4">P4*0.85</f>
        <v>110.5</v>
      </c>
      <c r="R4" s="4">
        <v>50</v>
      </c>
      <c r="S4" s="17">
        <v>1580</v>
      </c>
      <c r="T4">
        <f t="shared" ref="T4:T67" si="5">S4/M4*100</f>
        <v>69.664902998236329</v>
      </c>
    </row>
    <row r="5" spans="1:20" x14ac:dyDescent="0.25">
      <c r="A5" s="4" t="s">
        <v>357</v>
      </c>
      <c r="B5" s="4" t="s">
        <v>60</v>
      </c>
      <c r="C5" s="4" t="s">
        <v>61</v>
      </c>
      <c r="D5" s="22" t="s">
        <v>56</v>
      </c>
      <c r="E5" s="4" t="s">
        <v>62</v>
      </c>
      <c r="F5" s="4">
        <v>90</v>
      </c>
      <c r="G5" s="4">
        <v>8.2899999999999991</v>
      </c>
      <c r="H5" s="4">
        <v>746.09999999999991</v>
      </c>
      <c r="I5" s="23">
        <v>44123</v>
      </c>
      <c r="J5" s="4">
        <v>10.75</v>
      </c>
      <c r="K5" s="4">
        <v>967.5</v>
      </c>
      <c r="L5" s="24">
        <f>K5/H5</f>
        <v>1.2967430639324489</v>
      </c>
      <c r="M5" s="12">
        <f t="shared" si="0"/>
        <v>967.5</v>
      </c>
      <c r="N5" s="4">
        <f t="shared" si="1"/>
        <v>89</v>
      </c>
      <c r="O5" s="4">
        <f t="shared" si="3"/>
        <v>41</v>
      </c>
      <c r="P5" s="4">
        <v>130</v>
      </c>
      <c r="Q5" s="4">
        <f t="shared" si="4"/>
        <v>110.5</v>
      </c>
      <c r="R5" s="4">
        <v>50</v>
      </c>
      <c r="S5" s="17">
        <v>515</v>
      </c>
      <c r="T5">
        <f t="shared" si="5"/>
        <v>53.229974160206716</v>
      </c>
    </row>
    <row r="6" spans="1:20" x14ac:dyDescent="0.25">
      <c r="A6" s="4" t="s">
        <v>358</v>
      </c>
      <c r="B6" s="4" t="s">
        <v>63</v>
      </c>
      <c r="C6" s="4" t="s">
        <v>64</v>
      </c>
      <c r="D6" s="22" t="s">
        <v>56</v>
      </c>
      <c r="E6" s="4" t="s">
        <v>57</v>
      </c>
      <c r="F6" s="4">
        <v>90</v>
      </c>
      <c r="G6" s="4">
        <v>4.5199999999999996</v>
      </c>
      <c r="H6" s="4">
        <v>406.79999999999995</v>
      </c>
      <c r="I6" s="4"/>
      <c r="J6" s="4"/>
      <c r="K6" s="4">
        <f>H6</f>
        <v>406.79999999999995</v>
      </c>
      <c r="L6" s="24"/>
      <c r="M6" s="12">
        <f t="shared" si="0"/>
        <v>406.79999999999995</v>
      </c>
      <c r="N6" s="4">
        <f t="shared" si="1"/>
        <v>89</v>
      </c>
      <c r="O6" s="4">
        <f t="shared" si="3"/>
        <v>41</v>
      </c>
      <c r="P6" s="4">
        <v>130</v>
      </c>
      <c r="Q6" s="4">
        <f t="shared" si="4"/>
        <v>110.5</v>
      </c>
      <c r="R6" s="4">
        <v>50</v>
      </c>
      <c r="S6" s="17">
        <v>257.5</v>
      </c>
      <c r="T6">
        <f t="shared" si="5"/>
        <v>63.29891838741397</v>
      </c>
    </row>
    <row r="7" spans="1:20" x14ac:dyDescent="0.25">
      <c r="A7" s="4" t="s">
        <v>359</v>
      </c>
      <c r="B7" s="4" t="s">
        <v>65</v>
      </c>
      <c r="C7" s="4" t="s">
        <v>66</v>
      </c>
      <c r="D7" s="22" t="s">
        <v>56</v>
      </c>
      <c r="E7" s="4" t="s">
        <v>62</v>
      </c>
      <c r="F7" s="4">
        <v>90</v>
      </c>
      <c r="G7" s="4">
        <v>4.7</v>
      </c>
      <c r="H7" s="4">
        <v>423</v>
      </c>
      <c r="I7" s="4"/>
      <c r="J7" s="4"/>
      <c r="K7" s="4">
        <f>H7</f>
        <v>423</v>
      </c>
      <c r="L7" s="24"/>
      <c r="M7" s="12">
        <f t="shared" si="0"/>
        <v>423</v>
      </c>
      <c r="N7" s="4">
        <f t="shared" si="1"/>
        <v>89</v>
      </c>
      <c r="O7" s="4">
        <f t="shared" si="3"/>
        <v>41</v>
      </c>
      <c r="P7" s="4">
        <v>130</v>
      </c>
      <c r="Q7" s="4">
        <f t="shared" si="4"/>
        <v>110.5</v>
      </c>
      <c r="R7" s="4">
        <v>50</v>
      </c>
      <c r="S7" s="17">
        <v>220.5</v>
      </c>
      <c r="T7">
        <f t="shared" si="5"/>
        <v>52.12765957446809</v>
      </c>
    </row>
    <row r="8" spans="1:20" x14ac:dyDescent="0.25">
      <c r="A8" s="4" t="s">
        <v>360</v>
      </c>
      <c r="B8" s="4" t="s">
        <v>67</v>
      </c>
      <c r="C8" s="4" t="s">
        <v>68</v>
      </c>
      <c r="D8" s="22" t="s">
        <v>56</v>
      </c>
      <c r="E8" s="4" t="s">
        <v>57</v>
      </c>
      <c r="F8" s="4">
        <v>90</v>
      </c>
      <c r="G8" s="4">
        <v>13.9</v>
      </c>
      <c r="H8" s="4">
        <v>1251</v>
      </c>
      <c r="I8" s="23">
        <v>44123</v>
      </c>
      <c r="J8" s="4">
        <v>33.6</v>
      </c>
      <c r="K8" s="4">
        <v>3024</v>
      </c>
      <c r="L8" s="24">
        <f t="shared" ref="L8:L15" si="6">K8/H8</f>
        <v>2.4172661870503598</v>
      </c>
      <c r="M8" s="12">
        <f t="shared" si="0"/>
        <v>3024</v>
      </c>
      <c r="N8" s="4">
        <f t="shared" si="1"/>
        <v>89</v>
      </c>
      <c r="O8" s="4">
        <f t="shared" si="3"/>
        <v>41</v>
      </c>
      <c r="P8" s="4">
        <v>130</v>
      </c>
      <c r="Q8" s="4">
        <f t="shared" si="4"/>
        <v>110.5</v>
      </c>
      <c r="R8" s="4">
        <v>50</v>
      </c>
      <c r="S8" s="17">
        <v>1885.0000000000002</v>
      </c>
      <c r="T8">
        <f t="shared" si="5"/>
        <v>62.334656084656089</v>
      </c>
    </row>
    <row r="9" spans="1:20" x14ac:dyDescent="0.25">
      <c r="A9" s="4" t="s">
        <v>361</v>
      </c>
      <c r="B9" s="4" t="s">
        <v>69</v>
      </c>
      <c r="C9" s="4" t="s">
        <v>70</v>
      </c>
      <c r="D9" s="22" t="s">
        <v>56</v>
      </c>
      <c r="E9" s="4" t="s">
        <v>62</v>
      </c>
      <c r="F9" s="4">
        <v>90</v>
      </c>
      <c r="G9" s="4">
        <v>7.09</v>
      </c>
      <c r="H9" s="4">
        <v>638.1</v>
      </c>
      <c r="I9" s="23">
        <v>44123</v>
      </c>
      <c r="J9" s="4">
        <v>7.87</v>
      </c>
      <c r="K9" s="4">
        <v>708.3</v>
      </c>
      <c r="L9" s="24">
        <f t="shared" si="6"/>
        <v>1.1100141043723553</v>
      </c>
      <c r="M9" s="12">
        <f t="shared" si="0"/>
        <v>708.3</v>
      </c>
      <c r="N9" s="4">
        <f t="shared" si="1"/>
        <v>89</v>
      </c>
      <c r="O9" s="4">
        <f t="shared" si="3"/>
        <v>41</v>
      </c>
      <c r="P9" s="4">
        <v>130</v>
      </c>
      <c r="Q9" s="4">
        <f t="shared" si="4"/>
        <v>110.5</v>
      </c>
      <c r="R9" s="4">
        <v>50</v>
      </c>
      <c r="S9" s="17">
        <v>245.00000000000003</v>
      </c>
      <c r="T9">
        <f t="shared" si="5"/>
        <v>34.589863052378945</v>
      </c>
    </row>
    <row r="10" spans="1:20" x14ac:dyDescent="0.25">
      <c r="A10" s="4" t="s">
        <v>362</v>
      </c>
      <c r="B10" s="4" t="s">
        <v>71</v>
      </c>
      <c r="C10" s="4" t="s">
        <v>72</v>
      </c>
      <c r="D10" s="22" t="s">
        <v>56</v>
      </c>
      <c r="E10" s="4" t="s">
        <v>57</v>
      </c>
      <c r="F10" s="4">
        <v>90</v>
      </c>
      <c r="G10" s="4">
        <v>10.6</v>
      </c>
      <c r="H10" s="4">
        <v>954</v>
      </c>
      <c r="I10" s="23">
        <v>44123</v>
      </c>
      <c r="J10" s="4">
        <v>30.5</v>
      </c>
      <c r="K10" s="4">
        <v>2745</v>
      </c>
      <c r="L10" s="24">
        <f t="shared" si="6"/>
        <v>2.8773584905660377</v>
      </c>
      <c r="M10" s="12">
        <f t="shared" si="0"/>
        <v>2745</v>
      </c>
      <c r="N10" s="4">
        <f t="shared" si="1"/>
        <v>89</v>
      </c>
      <c r="O10" s="4">
        <f t="shared" si="3"/>
        <v>41</v>
      </c>
      <c r="P10" s="4">
        <v>130</v>
      </c>
      <c r="Q10" s="4">
        <f t="shared" si="4"/>
        <v>110.5</v>
      </c>
      <c r="R10" s="4">
        <v>50</v>
      </c>
      <c r="S10" s="17">
        <v>1410</v>
      </c>
      <c r="T10">
        <f t="shared" si="5"/>
        <v>51.366120218579233</v>
      </c>
    </row>
    <row r="11" spans="1:20" x14ac:dyDescent="0.25">
      <c r="A11" s="4" t="s">
        <v>363</v>
      </c>
      <c r="B11" s="4" t="s">
        <v>73</v>
      </c>
      <c r="C11" s="4" t="s">
        <v>74</v>
      </c>
      <c r="D11" s="22" t="s">
        <v>56</v>
      </c>
      <c r="E11" s="4" t="s">
        <v>57</v>
      </c>
      <c r="F11" s="4">
        <v>90</v>
      </c>
      <c r="G11" s="4">
        <v>8.36</v>
      </c>
      <c r="H11" s="4">
        <v>752.4</v>
      </c>
      <c r="I11" s="23">
        <v>44123</v>
      </c>
      <c r="J11" s="4">
        <v>13.9</v>
      </c>
      <c r="K11" s="4">
        <v>1251</v>
      </c>
      <c r="L11" s="24">
        <f t="shared" si="6"/>
        <v>1.6626794258373205</v>
      </c>
      <c r="M11" s="12">
        <f t="shared" si="0"/>
        <v>1251</v>
      </c>
      <c r="N11" s="4">
        <f t="shared" si="1"/>
        <v>89</v>
      </c>
      <c r="O11" s="4">
        <f t="shared" si="3"/>
        <v>41</v>
      </c>
      <c r="P11" s="4">
        <v>130</v>
      </c>
      <c r="Q11" s="4">
        <f t="shared" si="4"/>
        <v>110.5</v>
      </c>
      <c r="R11" s="4">
        <v>50</v>
      </c>
      <c r="S11" s="17">
        <v>735</v>
      </c>
      <c r="T11">
        <f t="shared" si="5"/>
        <v>58.752997601918466</v>
      </c>
    </row>
    <row r="12" spans="1:20" x14ac:dyDescent="0.25">
      <c r="A12" s="4" t="s">
        <v>364</v>
      </c>
      <c r="B12" s="4" t="s">
        <v>75</v>
      </c>
      <c r="C12" s="4" t="s">
        <v>76</v>
      </c>
      <c r="D12" s="22" t="s">
        <v>56</v>
      </c>
      <c r="E12" s="4" t="s">
        <v>57</v>
      </c>
      <c r="F12" s="4">
        <v>90</v>
      </c>
      <c r="G12" s="4">
        <v>9.2899999999999991</v>
      </c>
      <c r="H12" s="4">
        <v>836.09999999999991</v>
      </c>
      <c r="I12" s="23">
        <v>44123</v>
      </c>
      <c r="J12" s="4">
        <v>30.5</v>
      </c>
      <c r="K12" s="4">
        <v>2745</v>
      </c>
      <c r="L12" s="24">
        <f t="shared" si="6"/>
        <v>3.2831001076426269</v>
      </c>
      <c r="M12" s="12">
        <f t="shared" si="0"/>
        <v>2745</v>
      </c>
      <c r="N12" s="4">
        <f t="shared" si="1"/>
        <v>89</v>
      </c>
      <c r="O12" s="4">
        <f t="shared" si="3"/>
        <v>41</v>
      </c>
      <c r="P12" s="4">
        <v>130</v>
      </c>
      <c r="Q12" s="4">
        <f t="shared" si="4"/>
        <v>110.5</v>
      </c>
      <c r="R12" s="4">
        <v>50</v>
      </c>
      <c r="S12" s="17">
        <v>894.99999999999989</v>
      </c>
      <c r="T12">
        <f t="shared" si="5"/>
        <v>32.604735883424404</v>
      </c>
    </row>
    <row r="13" spans="1:20" x14ac:dyDescent="0.25">
      <c r="A13" s="4" t="s">
        <v>365</v>
      </c>
      <c r="B13" s="4" t="s">
        <v>77</v>
      </c>
      <c r="C13" s="4" t="s">
        <v>78</v>
      </c>
      <c r="D13" s="22" t="s">
        <v>56</v>
      </c>
      <c r="E13" s="4" t="s">
        <v>57</v>
      </c>
      <c r="F13" s="4">
        <v>90</v>
      </c>
      <c r="G13" s="4">
        <v>10.6</v>
      </c>
      <c r="H13" s="4">
        <v>954</v>
      </c>
      <c r="I13" s="23">
        <v>44123</v>
      </c>
      <c r="J13" s="4">
        <v>26.1</v>
      </c>
      <c r="K13" s="4">
        <v>2349</v>
      </c>
      <c r="L13" s="24">
        <f t="shared" si="6"/>
        <v>2.4622641509433962</v>
      </c>
      <c r="M13" s="12">
        <f t="shared" si="0"/>
        <v>2349</v>
      </c>
      <c r="N13" s="4">
        <f t="shared" si="1"/>
        <v>89</v>
      </c>
      <c r="O13" s="4">
        <f t="shared" si="3"/>
        <v>41</v>
      </c>
      <c r="P13" s="4">
        <v>130</v>
      </c>
      <c r="Q13" s="4">
        <f t="shared" si="4"/>
        <v>110.5</v>
      </c>
      <c r="R13" s="4">
        <v>50</v>
      </c>
      <c r="S13" s="17">
        <v>975</v>
      </c>
      <c r="T13">
        <f t="shared" si="5"/>
        <v>41.507024265644951</v>
      </c>
    </row>
    <row r="14" spans="1:20" x14ac:dyDescent="0.25">
      <c r="A14" s="4" t="s">
        <v>366</v>
      </c>
      <c r="B14" s="4" t="s">
        <v>79</v>
      </c>
      <c r="C14" s="4" t="s">
        <v>80</v>
      </c>
      <c r="D14" s="22" t="s">
        <v>56</v>
      </c>
      <c r="E14" s="4" t="s">
        <v>62</v>
      </c>
      <c r="F14" s="4">
        <v>90</v>
      </c>
      <c r="G14" s="4">
        <v>8.4499999999999993</v>
      </c>
      <c r="H14" s="4">
        <v>760.49999999999989</v>
      </c>
      <c r="I14" s="23">
        <v>44123</v>
      </c>
      <c r="J14" s="4">
        <v>12.1</v>
      </c>
      <c r="K14" s="4">
        <v>1089</v>
      </c>
      <c r="L14" s="24">
        <f t="shared" si="6"/>
        <v>1.4319526627218937</v>
      </c>
      <c r="M14" s="12">
        <f t="shared" si="0"/>
        <v>1089</v>
      </c>
      <c r="N14" s="4">
        <f t="shared" si="1"/>
        <v>89</v>
      </c>
      <c r="O14" s="4">
        <f t="shared" si="3"/>
        <v>41</v>
      </c>
      <c r="P14" s="4">
        <v>130</v>
      </c>
      <c r="Q14" s="4">
        <f t="shared" si="4"/>
        <v>110.5</v>
      </c>
      <c r="R14" s="4">
        <v>50</v>
      </c>
      <c r="S14" s="17">
        <v>463.99999999999994</v>
      </c>
      <c r="T14">
        <f t="shared" si="5"/>
        <v>42.607897153351693</v>
      </c>
    </row>
    <row r="15" spans="1:20" x14ac:dyDescent="0.25">
      <c r="A15" s="4" t="s">
        <v>367</v>
      </c>
      <c r="B15" s="4" t="s">
        <v>81</v>
      </c>
      <c r="C15" s="4" t="s">
        <v>82</v>
      </c>
      <c r="D15" s="22" t="s">
        <v>56</v>
      </c>
      <c r="E15" s="4" t="s">
        <v>57</v>
      </c>
      <c r="F15" s="4">
        <v>90</v>
      </c>
      <c r="G15" s="4">
        <v>10.6</v>
      </c>
      <c r="H15" s="4">
        <v>954</v>
      </c>
      <c r="I15" s="23">
        <v>44123</v>
      </c>
      <c r="J15" s="4">
        <v>87.2</v>
      </c>
      <c r="K15" s="4">
        <v>7848</v>
      </c>
      <c r="L15" s="24">
        <f t="shared" si="6"/>
        <v>8.2264150943396235</v>
      </c>
      <c r="M15" s="12">
        <f t="shared" si="0"/>
        <v>7848</v>
      </c>
      <c r="N15" s="4">
        <f t="shared" si="1"/>
        <v>89</v>
      </c>
      <c r="O15" s="4">
        <f t="shared" si="3"/>
        <v>41</v>
      </c>
      <c r="P15" s="4">
        <v>130</v>
      </c>
      <c r="Q15" s="4">
        <f t="shared" si="4"/>
        <v>110.5</v>
      </c>
      <c r="R15" s="4">
        <v>50</v>
      </c>
      <c r="S15" s="17">
        <v>3659.9999999999995</v>
      </c>
      <c r="T15">
        <f t="shared" si="5"/>
        <v>46.63608562691131</v>
      </c>
    </row>
    <row r="16" spans="1:20" x14ac:dyDescent="0.25">
      <c r="A16" s="4" t="s">
        <v>368</v>
      </c>
      <c r="B16" s="4" t="s">
        <v>83</v>
      </c>
      <c r="C16" s="4" t="s">
        <v>84</v>
      </c>
      <c r="D16" s="22" t="s">
        <v>56</v>
      </c>
      <c r="E16" s="4" t="s">
        <v>62</v>
      </c>
      <c r="F16" s="4">
        <v>90</v>
      </c>
      <c r="G16" s="4">
        <v>8.89</v>
      </c>
      <c r="H16" s="4">
        <v>800.1</v>
      </c>
      <c r="I16" s="23">
        <v>44113</v>
      </c>
      <c r="J16" s="4">
        <v>8.9499999999999993</v>
      </c>
      <c r="K16" s="4">
        <f>H16</f>
        <v>800.1</v>
      </c>
      <c r="L16" s="24"/>
      <c r="M16" s="12">
        <f t="shared" si="0"/>
        <v>800.1</v>
      </c>
      <c r="N16" s="4">
        <f t="shared" si="1"/>
        <v>89</v>
      </c>
      <c r="O16" s="4">
        <f t="shared" si="3"/>
        <v>41</v>
      </c>
      <c r="P16" s="4">
        <v>130</v>
      </c>
      <c r="Q16" s="4">
        <f t="shared" si="4"/>
        <v>110.5</v>
      </c>
      <c r="R16" s="4">
        <v>50</v>
      </c>
      <c r="S16" s="17">
        <v>600</v>
      </c>
      <c r="T16">
        <f t="shared" si="5"/>
        <v>74.990626171728536</v>
      </c>
    </row>
    <row r="17" spans="1:20" x14ac:dyDescent="0.25">
      <c r="A17" s="4" t="s">
        <v>369</v>
      </c>
      <c r="B17" s="4" t="s">
        <v>85</v>
      </c>
      <c r="C17" s="4" t="s">
        <v>86</v>
      </c>
      <c r="D17" s="22" t="s">
        <v>56</v>
      </c>
      <c r="E17" s="4" t="s">
        <v>57</v>
      </c>
      <c r="F17" s="4">
        <v>90</v>
      </c>
      <c r="G17" s="4">
        <v>11.2</v>
      </c>
      <c r="H17" s="4">
        <v>1007.9999999999999</v>
      </c>
      <c r="I17" s="23">
        <v>44123</v>
      </c>
      <c r="J17" s="4">
        <v>41.4</v>
      </c>
      <c r="K17" s="4">
        <v>3726</v>
      </c>
      <c r="L17" s="24">
        <f>K17/H17</f>
        <v>3.6964285714285721</v>
      </c>
      <c r="M17" s="12">
        <f t="shared" si="0"/>
        <v>3726</v>
      </c>
      <c r="N17" s="4">
        <f t="shared" si="1"/>
        <v>89</v>
      </c>
      <c r="O17" s="4">
        <f t="shared" si="3"/>
        <v>41</v>
      </c>
      <c r="P17" s="4">
        <v>130</v>
      </c>
      <c r="Q17" s="4">
        <f t="shared" si="4"/>
        <v>110.5</v>
      </c>
      <c r="R17" s="4">
        <v>50</v>
      </c>
      <c r="S17" s="17">
        <v>2240</v>
      </c>
      <c r="T17">
        <f t="shared" si="5"/>
        <v>60.118089103596347</v>
      </c>
    </row>
    <row r="18" spans="1:20" x14ac:dyDescent="0.25">
      <c r="A18" s="4" t="s">
        <v>370</v>
      </c>
      <c r="B18" s="4" t="s">
        <v>87</v>
      </c>
      <c r="C18" s="4" t="s">
        <v>88</v>
      </c>
      <c r="D18" s="22" t="s">
        <v>56</v>
      </c>
      <c r="E18" s="4" t="s">
        <v>57</v>
      </c>
      <c r="F18" s="4">
        <v>90</v>
      </c>
      <c r="G18" s="4">
        <v>6.01</v>
      </c>
      <c r="H18" s="4">
        <v>540.9</v>
      </c>
      <c r="I18" s="4"/>
      <c r="J18" s="4"/>
      <c r="K18" s="4">
        <f>H18</f>
        <v>540.9</v>
      </c>
      <c r="L18" s="24"/>
      <c r="M18" s="12">
        <f t="shared" si="0"/>
        <v>540.9</v>
      </c>
      <c r="N18" s="4">
        <f t="shared" si="1"/>
        <v>89</v>
      </c>
      <c r="O18" s="4">
        <f t="shared" si="3"/>
        <v>41</v>
      </c>
      <c r="P18" s="4">
        <v>130</v>
      </c>
      <c r="Q18" s="4">
        <f t="shared" si="4"/>
        <v>110.5</v>
      </c>
      <c r="R18" s="4">
        <v>50</v>
      </c>
      <c r="S18" s="17">
        <v>317</v>
      </c>
      <c r="T18">
        <f t="shared" si="5"/>
        <v>58.606026992050289</v>
      </c>
    </row>
    <row r="19" spans="1:20" x14ac:dyDescent="0.25">
      <c r="A19" s="4" t="s">
        <v>371</v>
      </c>
      <c r="B19" s="4" t="s">
        <v>89</v>
      </c>
      <c r="C19" s="4" t="s">
        <v>90</v>
      </c>
      <c r="D19" s="22" t="s">
        <v>56</v>
      </c>
      <c r="E19" s="4" t="s">
        <v>62</v>
      </c>
      <c r="F19" s="4">
        <v>90</v>
      </c>
      <c r="G19" s="4">
        <v>10.6</v>
      </c>
      <c r="H19" s="4">
        <v>954</v>
      </c>
      <c r="I19" s="23">
        <v>44123</v>
      </c>
      <c r="J19" s="4">
        <v>36.6</v>
      </c>
      <c r="K19" s="4">
        <v>3294</v>
      </c>
      <c r="L19" s="24">
        <f t="shared" ref="L19:L29" si="7">K19/H19</f>
        <v>3.4528301886792452</v>
      </c>
      <c r="M19" s="12">
        <f t="shared" si="0"/>
        <v>3294</v>
      </c>
      <c r="N19" s="4">
        <f t="shared" si="1"/>
        <v>89</v>
      </c>
      <c r="O19" s="4">
        <f t="shared" si="3"/>
        <v>41</v>
      </c>
      <c r="P19" s="4">
        <v>130</v>
      </c>
      <c r="Q19" s="4">
        <f t="shared" si="4"/>
        <v>110.5</v>
      </c>
      <c r="R19" s="4">
        <v>50</v>
      </c>
      <c r="S19" s="17">
        <v>1050</v>
      </c>
      <c r="T19">
        <f t="shared" si="5"/>
        <v>31.876138433515482</v>
      </c>
    </row>
    <row r="20" spans="1:20" x14ac:dyDescent="0.25">
      <c r="A20" s="4" t="s">
        <v>372</v>
      </c>
      <c r="B20" s="4" t="s">
        <v>91</v>
      </c>
      <c r="C20" s="4" t="s">
        <v>92</v>
      </c>
      <c r="D20" s="22" t="s">
        <v>56</v>
      </c>
      <c r="E20" s="4" t="s">
        <v>57</v>
      </c>
      <c r="F20" s="4">
        <v>90</v>
      </c>
      <c r="G20" s="4">
        <v>12</v>
      </c>
      <c r="H20" s="4">
        <v>1080</v>
      </c>
      <c r="I20" s="23">
        <v>44123</v>
      </c>
      <c r="J20" s="4">
        <v>63.2</v>
      </c>
      <c r="K20" s="4">
        <v>5688</v>
      </c>
      <c r="L20" s="24">
        <f t="shared" si="7"/>
        <v>5.2666666666666666</v>
      </c>
      <c r="M20" s="12">
        <f t="shared" si="0"/>
        <v>5688</v>
      </c>
      <c r="N20" s="4">
        <f t="shared" si="1"/>
        <v>89</v>
      </c>
      <c r="O20" s="4">
        <f t="shared" si="3"/>
        <v>41</v>
      </c>
      <c r="P20" s="4">
        <v>130</v>
      </c>
      <c r="Q20" s="4">
        <f t="shared" si="4"/>
        <v>110.5</v>
      </c>
      <c r="R20" s="4">
        <v>50</v>
      </c>
      <c r="S20" s="17">
        <v>2825</v>
      </c>
      <c r="T20">
        <f t="shared" si="5"/>
        <v>49.665963431786217</v>
      </c>
    </row>
    <row r="21" spans="1:20" x14ac:dyDescent="0.25">
      <c r="A21" s="4" t="s">
        <v>373</v>
      </c>
      <c r="B21" s="4" t="s">
        <v>93</v>
      </c>
      <c r="C21" s="4" t="s">
        <v>94</v>
      </c>
      <c r="D21" s="22" t="s">
        <v>56</v>
      </c>
      <c r="E21" s="4" t="s">
        <v>62</v>
      </c>
      <c r="F21" s="4">
        <v>90</v>
      </c>
      <c r="G21" s="4">
        <v>9.86</v>
      </c>
      <c r="H21" s="4">
        <v>887.4</v>
      </c>
      <c r="I21" s="23">
        <v>44123</v>
      </c>
      <c r="J21" s="4">
        <v>18.95</v>
      </c>
      <c r="K21" s="4">
        <v>1705.5</v>
      </c>
      <c r="L21" s="24">
        <f t="shared" si="7"/>
        <v>1.9219066937119675</v>
      </c>
      <c r="M21" s="12">
        <f t="shared" si="0"/>
        <v>1705.5</v>
      </c>
      <c r="N21" s="4">
        <f t="shared" si="1"/>
        <v>89</v>
      </c>
      <c r="O21" s="4">
        <f t="shared" si="3"/>
        <v>41</v>
      </c>
      <c r="P21" s="4">
        <v>130</v>
      </c>
      <c r="Q21" s="4">
        <f t="shared" si="4"/>
        <v>110.5</v>
      </c>
      <c r="R21" s="4">
        <v>50</v>
      </c>
      <c r="S21" s="17">
        <v>635</v>
      </c>
      <c r="T21">
        <f t="shared" si="5"/>
        <v>37.232483142773383</v>
      </c>
    </row>
    <row r="22" spans="1:20" x14ac:dyDescent="0.25">
      <c r="A22" s="4" t="s">
        <v>374</v>
      </c>
      <c r="B22" s="4" t="s">
        <v>95</v>
      </c>
      <c r="C22" s="4" t="s">
        <v>96</v>
      </c>
      <c r="D22" s="22" t="s">
        <v>56</v>
      </c>
      <c r="E22" s="4" t="s">
        <v>62</v>
      </c>
      <c r="F22" s="4">
        <v>90</v>
      </c>
      <c r="G22" s="4">
        <v>8.9499999999999993</v>
      </c>
      <c r="H22" s="4">
        <v>805.49999999999989</v>
      </c>
      <c r="I22" s="23">
        <v>44123</v>
      </c>
      <c r="J22" s="4">
        <v>19.600000000000001</v>
      </c>
      <c r="K22" s="4">
        <v>1764.0000000000002</v>
      </c>
      <c r="L22" s="24">
        <f t="shared" si="7"/>
        <v>2.1899441340782131</v>
      </c>
      <c r="M22" s="12">
        <f t="shared" si="0"/>
        <v>1764.0000000000002</v>
      </c>
      <c r="N22" s="4">
        <f t="shared" si="1"/>
        <v>89</v>
      </c>
      <c r="O22" s="4">
        <f t="shared" si="3"/>
        <v>41</v>
      </c>
      <c r="P22" s="4">
        <v>125.4</v>
      </c>
      <c r="Q22" s="4">
        <f t="shared" si="4"/>
        <v>106.59</v>
      </c>
      <c r="R22" s="4">
        <v>50</v>
      </c>
      <c r="S22" s="17">
        <v>857.49999999999989</v>
      </c>
      <c r="T22">
        <f t="shared" si="5"/>
        <v>48.6111111111111</v>
      </c>
    </row>
    <row r="23" spans="1:20" x14ac:dyDescent="0.25">
      <c r="A23" s="4" t="s">
        <v>375</v>
      </c>
      <c r="B23" s="4" t="s">
        <v>97</v>
      </c>
      <c r="C23" s="4" t="s">
        <v>98</v>
      </c>
      <c r="D23" s="22" t="s">
        <v>56</v>
      </c>
      <c r="E23" s="4" t="s">
        <v>57</v>
      </c>
      <c r="F23" s="4">
        <v>90</v>
      </c>
      <c r="G23" s="4">
        <v>11.6</v>
      </c>
      <c r="H23" s="4">
        <v>1044</v>
      </c>
      <c r="I23" s="23">
        <v>44123</v>
      </c>
      <c r="J23" s="4">
        <v>33.1</v>
      </c>
      <c r="K23" s="4">
        <v>2979</v>
      </c>
      <c r="L23" s="24">
        <f t="shared" si="7"/>
        <v>2.853448275862069</v>
      </c>
      <c r="M23" s="12">
        <f t="shared" si="0"/>
        <v>2979</v>
      </c>
      <c r="N23" s="4">
        <f t="shared" si="1"/>
        <v>89</v>
      </c>
      <c r="O23" s="4">
        <f t="shared" si="3"/>
        <v>41</v>
      </c>
      <c r="P23" s="4">
        <v>130</v>
      </c>
      <c r="Q23" s="4">
        <f t="shared" si="4"/>
        <v>110.5</v>
      </c>
      <c r="R23" s="4">
        <v>50</v>
      </c>
      <c r="S23" s="17">
        <v>1455</v>
      </c>
      <c r="T23">
        <f t="shared" si="5"/>
        <v>48.841893252769388</v>
      </c>
    </row>
    <row r="24" spans="1:20" x14ac:dyDescent="0.25">
      <c r="A24" s="4" t="s">
        <v>376</v>
      </c>
      <c r="B24" s="4" t="s">
        <v>99</v>
      </c>
      <c r="C24" s="4" t="s">
        <v>100</v>
      </c>
      <c r="D24" s="22" t="s">
        <v>56</v>
      </c>
      <c r="E24" s="4" t="s">
        <v>57</v>
      </c>
      <c r="F24" s="4">
        <v>90</v>
      </c>
      <c r="G24" s="4">
        <v>43.2</v>
      </c>
      <c r="H24" s="4">
        <v>3888.0000000000005</v>
      </c>
      <c r="I24" s="23">
        <v>44123</v>
      </c>
      <c r="J24" s="4">
        <v>55.1</v>
      </c>
      <c r="K24" s="4">
        <v>4959</v>
      </c>
      <c r="L24" s="24">
        <f t="shared" si="7"/>
        <v>1.2754629629629628</v>
      </c>
      <c r="M24" s="12">
        <f t="shared" si="0"/>
        <v>4959</v>
      </c>
      <c r="N24" s="4">
        <f t="shared" si="1"/>
        <v>89</v>
      </c>
      <c r="O24" s="4">
        <f t="shared" si="3"/>
        <v>41</v>
      </c>
      <c r="P24" s="4">
        <v>130</v>
      </c>
      <c r="Q24" s="4">
        <f t="shared" si="4"/>
        <v>110.5</v>
      </c>
      <c r="R24" s="4">
        <v>50</v>
      </c>
      <c r="S24" s="17">
        <v>2955</v>
      </c>
      <c r="T24">
        <f t="shared" si="5"/>
        <v>59.588626739261954</v>
      </c>
    </row>
    <row r="25" spans="1:20" x14ac:dyDescent="0.25">
      <c r="A25" s="4" t="s">
        <v>377</v>
      </c>
      <c r="B25" s="4" t="s">
        <v>101</v>
      </c>
      <c r="C25" s="4" t="s">
        <v>102</v>
      </c>
      <c r="D25" s="22" t="s">
        <v>56</v>
      </c>
      <c r="E25" s="4" t="s">
        <v>62</v>
      </c>
      <c r="F25" s="4">
        <v>90</v>
      </c>
      <c r="G25" s="4">
        <v>9.16</v>
      </c>
      <c r="H25" s="4">
        <v>824.4</v>
      </c>
      <c r="I25" s="23">
        <v>44123</v>
      </c>
      <c r="J25" s="4">
        <v>17.05</v>
      </c>
      <c r="K25" s="4">
        <v>1534.5</v>
      </c>
      <c r="L25" s="24">
        <f t="shared" si="7"/>
        <v>1.8613537117903931</v>
      </c>
      <c r="M25" s="12">
        <f t="shared" si="0"/>
        <v>1534.5</v>
      </c>
      <c r="N25" s="4">
        <f t="shared" si="1"/>
        <v>89</v>
      </c>
      <c r="O25" s="4">
        <f t="shared" si="3"/>
        <v>41</v>
      </c>
      <c r="P25" s="4">
        <v>121</v>
      </c>
      <c r="Q25" s="4">
        <f t="shared" si="4"/>
        <v>102.85</v>
      </c>
      <c r="R25" s="4">
        <v>50</v>
      </c>
      <c r="S25" s="17">
        <v>740</v>
      </c>
      <c r="T25">
        <f t="shared" si="5"/>
        <v>48.224177256435318</v>
      </c>
    </row>
    <row r="26" spans="1:20" x14ac:dyDescent="0.25">
      <c r="A26" s="4" t="s">
        <v>378</v>
      </c>
      <c r="B26" s="4" t="s">
        <v>103</v>
      </c>
      <c r="C26" s="4" t="s">
        <v>104</v>
      </c>
      <c r="D26" s="22" t="s">
        <v>56</v>
      </c>
      <c r="E26" s="4" t="s">
        <v>57</v>
      </c>
      <c r="F26" s="4">
        <v>90</v>
      </c>
      <c r="G26" s="4">
        <v>12</v>
      </c>
      <c r="H26" s="4">
        <v>1080</v>
      </c>
      <c r="I26" s="23">
        <v>44123</v>
      </c>
      <c r="J26" s="4">
        <v>44.5</v>
      </c>
      <c r="K26" s="4">
        <v>4005</v>
      </c>
      <c r="L26" s="24">
        <f t="shared" si="7"/>
        <v>3.7083333333333335</v>
      </c>
      <c r="M26" s="12">
        <f t="shared" si="0"/>
        <v>4005</v>
      </c>
      <c r="N26" s="4">
        <f t="shared" si="1"/>
        <v>89</v>
      </c>
      <c r="O26" s="4">
        <f t="shared" si="3"/>
        <v>41</v>
      </c>
      <c r="P26" s="4">
        <v>130</v>
      </c>
      <c r="Q26" s="4">
        <f t="shared" si="4"/>
        <v>110.5</v>
      </c>
      <c r="R26" s="4">
        <v>50</v>
      </c>
      <c r="S26" s="17">
        <v>2355</v>
      </c>
      <c r="T26">
        <f t="shared" si="5"/>
        <v>58.801498127340821</v>
      </c>
    </row>
    <row r="27" spans="1:20" x14ac:dyDescent="0.25">
      <c r="A27" s="4" t="s">
        <v>379</v>
      </c>
      <c r="B27" s="4" t="s">
        <v>105</v>
      </c>
      <c r="C27" s="4" t="s">
        <v>106</v>
      </c>
      <c r="D27" s="22" t="s">
        <v>56</v>
      </c>
      <c r="E27" s="4" t="s">
        <v>57</v>
      </c>
      <c r="F27" s="4">
        <v>90</v>
      </c>
      <c r="G27" s="4">
        <v>11.1</v>
      </c>
      <c r="H27" s="4">
        <v>999</v>
      </c>
      <c r="I27" s="23">
        <v>44123</v>
      </c>
      <c r="J27" s="4">
        <v>44.8</v>
      </c>
      <c r="K27" s="4">
        <v>4031.9999999999995</v>
      </c>
      <c r="L27" s="24">
        <f t="shared" si="7"/>
        <v>4.0360360360360357</v>
      </c>
      <c r="M27" s="12">
        <f t="shared" si="0"/>
        <v>4031.9999999999995</v>
      </c>
      <c r="N27" s="4">
        <f t="shared" si="1"/>
        <v>89</v>
      </c>
      <c r="O27" s="4">
        <f t="shared" si="3"/>
        <v>41</v>
      </c>
      <c r="P27" s="4">
        <v>130</v>
      </c>
      <c r="Q27" s="4">
        <f t="shared" si="4"/>
        <v>110.5</v>
      </c>
      <c r="R27" s="4">
        <v>50</v>
      </c>
      <c r="S27" s="17">
        <v>1505</v>
      </c>
      <c r="T27">
        <f t="shared" si="5"/>
        <v>37.326388888888893</v>
      </c>
    </row>
    <row r="28" spans="1:20" x14ac:dyDescent="0.25">
      <c r="A28" s="4" t="s">
        <v>380</v>
      </c>
      <c r="B28" s="4" t="s">
        <v>107</v>
      </c>
      <c r="C28" s="4" t="s">
        <v>108</v>
      </c>
      <c r="D28" s="22" t="s">
        <v>56</v>
      </c>
      <c r="E28" s="4" t="s">
        <v>62</v>
      </c>
      <c r="F28" s="4">
        <v>90</v>
      </c>
      <c r="G28" s="4">
        <v>10.6</v>
      </c>
      <c r="H28" s="4">
        <v>954</v>
      </c>
      <c r="I28" s="23">
        <v>44123</v>
      </c>
      <c r="J28" s="4">
        <v>18.8</v>
      </c>
      <c r="K28" s="4">
        <v>1692</v>
      </c>
      <c r="L28" s="24">
        <f t="shared" si="7"/>
        <v>1.7735849056603774</v>
      </c>
      <c r="M28" s="12">
        <f t="shared" si="0"/>
        <v>1692</v>
      </c>
      <c r="N28" s="4">
        <f t="shared" si="1"/>
        <v>89</v>
      </c>
      <c r="O28" s="4">
        <f t="shared" si="3"/>
        <v>41</v>
      </c>
      <c r="P28" s="4">
        <v>130</v>
      </c>
      <c r="Q28" s="4">
        <f t="shared" si="4"/>
        <v>110.5</v>
      </c>
      <c r="R28" s="4">
        <v>50</v>
      </c>
      <c r="S28" s="17">
        <v>1115</v>
      </c>
      <c r="T28">
        <f t="shared" si="5"/>
        <v>65.898345153664309</v>
      </c>
    </row>
    <row r="29" spans="1:20" x14ac:dyDescent="0.25">
      <c r="A29" s="4" t="s">
        <v>381</v>
      </c>
      <c r="B29" s="4" t="s">
        <v>109</v>
      </c>
      <c r="C29" s="4" t="s">
        <v>110</v>
      </c>
      <c r="D29" s="22" t="s">
        <v>56</v>
      </c>
      <c r="E29" s="4" t="s">
        <v>57</v>
      </c>
      <c r="F29" s="4">
        <v>90</v>
      </c>
      <c r="G29" s="4">
        <v>10</v>
      </c>
      <c r="H29" s="4">
        <v>900</v>
      </c>
      <c r="I29" s="23">
        <v>44123</v>
      </c>
      <c r="J29" s="4">
        <v>32.4</v>
      </c>
      <c r="K29" s="4">
        <v>2916</v>
      </c>
      <c r="L29" s="24">
        <f t="shared" si="7"/>
        <v>3.24</v>
      </c>
      <c r="M29" s="12">
        <f t="shared" si="0"/>
        <v>2916</v>
      </c>
      <c r="N29" s="4">
        <f t="shared" si="1"/>
        <v>89</v>
      </c>
      <c r="O29" s="4">
        <f t="shared" si="3"/>
        <v>41</v>
      </c>
      <c r="P29" s="4">
        <v>130</v>
      </c>
      <c r="Q29" s="4">
        <f t="shared" si="4"/>
        <v>110.5</v>
      </c>
      <c r="R29" s="4">
        <v>50</v>
      </c>
      <c r="S29" s="17">
        <v>1680</v>
      </c>
      <c r="T29">
        <f t="shared" si="5"/>
        <v>57.613168724279838</v>
      </c>
    </row>
    <row r="30" spans="1:20" x14ac:dyDescent="0.25">
      <c r="A30" s="4" t="s">
        <v>382</v>
      </c>
      <c r="B30" s="4" t="s">
        <v>111</v>
      </c>
      <c r="C30" s="4" t="s">
        <v>112</v>
      </c>
      <c r="D30" s="22" t="s">
        <v>56</v>
      </c>
      <c r="E30" s="4" t="s">
        <v>62</v>
      </c>
      <c r="F30" s="4">
        <v>90</v>
      </c>
      <c r="G30" s="4">
        <v>6.45</v>
      </c>
      <c r="H30" s="4">
        <v>580.5</v>
      </c>
      <c r="I30" s="4"/>
      <c r="J30" s="4"/>
      <c r="K30" s="4">
        <f>H30</f>
        <v>580.5</v>
      </c>
      <c r="L30" s="24"/>
      <c r="M30" s="12">
        <f t="shared" si="0"/>
        <v>580.5</v>
      </c>
      <c r="N30" s="4">
        <f t="shared" si="1"/>
        <v>89</v>
      </c>
      <c r="O30" s="4">
        <f t="shared" si="3"/>
        <v>41</v>
      </c>
      <c r="P30" s="4">
        <v>130</v>
      </c>
      <c r="Q30" s="4">
        <f t="shared" si="4"/>
        <v>110.5</v>
      </c>
      <c r="R30" s="4">
        <v>50</v>
      </c>
      <c r="S30" s="17">
        <v>223.50000000000003</v>
      </c>
      <c r="T30">
        <f t="shared" si="5"/>
        <v>38.501291989664089</v>
      </c>
    </row>
    <row r="31" spans="1:20" x14ac:dyDescent="0.25">
      <c r="A31" s="4" t="s">
        <v>383</v>
      </c>
      <c r="B31" s="4" t="s">
        <v>113</v>
      </c>
      <c r="C31" s="4" t="s">
        <v>114</v>
      </c>
      <c r="D31" s="22" t="s">
        <v>56</v>
      </c>
      <c r="E31" s="4" t="s">
        <v>57</v>
      </c>
      <c r="F31" s="4">
        <v>90</v>
      </c>
      <c r="G31" s="4">
        <v>10.6</v>
      </c>
      <c r="H31" s="4">
        <v>954</v>
      </c>
      <c r="I31" s="23">
        <v>44123</v>
      </c>
      <c r="J31" s="4">
        <v>64.099999999999994</v>
      </c>
      <c r="K31" s="4">
        <v>5768.9999999999991</v>
      </c>
      <c r="L31" s="24">
        <f>K31/H31</f>
        <v>6.0471698113207539</v>
      </c>
      <c r="M31" s="12">
        <f t="shared" si="0"/>
        <v>5768.9999999999991</v>
      </c>
      <c r="N31" s="4">
        <f t="shared" si="1"/>
        <v>89</v>
      </c>
      <c r="O31" s="4">
        <f t="shared" si="3"/>
        <v>41</v>
      </c>
      <c r="P31" s="4">
        <v>130</v>
      </c>
      <c r="Q31" s="4">
        <f t="shared" si="4"/>
        <v>110.5</v>
      </c>
      <c r="R31" s="4">
        <v>50</v>
      </c>
      <c r="S31" s="17">
        <v>3465</v>
      </c>
      <c r="T31">
        <f t="shared" si="5"/>
        <v>60.062402496099857</v>
      </c>
    </row>
    <row r="32" spans="1:20" x14ac:dyDescent="0.25">
      <c r="A32" s="4" t="s">
        <v>384</v>
      </c>
      <c r="B32" s="4" t="s">
        <v>115</v>
      </c>
      <c r="C32" s="4" t="s">
        <v>116</v>
      </c>
      <c r="D32" s="22" t="s">
        <v>56</v>
      </c>
      <c r="E32" s="4" t="s">
        <v>62</v>
      </c>
      <c r="F32" s="4">
        <v>90</v>
      </c>
      <c r="G32" s="4">
        <v>9.5399999999999991</v>
      </c>
      <c r="H32" s="4">
        <v>858.59999999999991</v>
      </c>
      <c r="I32" s="23">
        <v>44113</v>
      </c>
      <c r="J32" s="4">
        <v>17.899999999999999</v>
      </c>
      <c r="K32" s="4">
        <f t="shared" ref="K32:K33" si="8">H32</f>
        <v>858.59999999999991</v>
      </c>
      <c r="L32" s="24"/>
      <c r="M32" s="12">
        <f t="shared" si="0"/>
        <v>858.59999999999991</v>
      </c>
      <c r="N32" s="4">
        <f t="shared" si="1"/>
        <v>89</v>
      </c>
      <c r="O32" s="4">
        <f t="shared" si="3"/>
        <v>41</v>
      </c>
      <c r="P32" s="4">
        <v>130</v>
      </c>
      <c r="Q32" s="4">
        <f t="shared" si="4"/>
        <v>110.5</v>
      </c>
      <c r="R32" s="4">
        <v>50</v>
      </c>
      <c r="S32" s="17">
        <v>944.99999999999989</v>
      </c>
      <c r="T32">
        <f t="shared" si="5"/>
        <v>110.062893081761</v>
      </c>
    </row>
    <row r="33" spans="1:20" x14ac:dyDescent="0.25">
      <c r="A33" s="27" t="s">
        <v>385</v>
      </c>
      <c r="B33" s="4" t="s">
        <v>117</v>
      </c>
      <c r="C33" s="4" t="s">
        <v>118</v>
      </c>
      <c r="D33" s="22" t="s">
        <v>56</v>
      </c>
      <c r="E33" s="4" t="s">
        <v>57</v>
      </c>
      <c r="F33" s="4">
        <v>90</v>
      </c>
      <c r="G33" s="4">
        <v>5.73</v>
      </c>
      <c r="H33" s="4">
        <v>515.70000000000005</v>
      </c>
      <c r="I33" s="4"/>
      <c r="J33" s="4"/>
      <c r="K33" s="4">
        <f t="shared" si="8"/>
        <v>515.70000000000005</v>
      </c>
      <c r="L33" s="24"/>
      <c r="M33" s="12">
        <f t="shared" si="0"/>
        <v>515.70000000000005</v>
      </c>
      <c r="N33" s="4">
        <f t="shared" si="1"/>
        <v>89</v>
      </c>
      <c r="O33" s="4">
        <f t="shared" si="3"/>
        <v>41</v>
      </c>
      <c r="P33" s="27">
        <v>130</v>
      </c>
      <c r="Q33" s="4">
        <f t="shared" si="4"/>
        <v>110.5</v>
      </c>
      <c r="R33" s="27">
        <v>50</v>
      </c>
      <c r="S33" s="17">
        <v>190.5</v>
      </c>
      <c r="T33">
        <f t="shared" si="5"/>
        <v>36.940081442699238</v>
      </c>
    </row>
    <row r="34" spans="1:20" x14ac:dyDescent="0.25">
      <c r="A34" s="27" t="s">
        <v>386</v>
      </c>
      <c r="B34" s="4" t="s">
        <v>119</v>
      </c>
      <c r="C34" s="4" t="s">
        <v>120</v>
      </c>
      <c r="D34" s="22" t="s">
        <v>56</v>
      </c>
      <c r="E34" s="4" t="s">
        <v>62</v>
      </c>
      <c r="F34" s="4">
        <v>90</v>
      </c>
      <c r="G34" s="4">
        <v>6.87</v>
      </c>
      <c r="H34" s="4">
        <v>618.29999999999995</v>
      </c>
      <c r="I34" s="23">
        <v>44123</v>
      </c>
      <c r="J34" s="4">
        <v>10.039999999999999</v>
      </c>
      <c r="K34" s="4">
        <v>903.59999999999991</v>
      </c>
      <c r="L34" s="24">
        <f>K34/H34</f>
        <v>1.4614264919941775</v>
      </c>
      <c r="M34" s="12">
        <f t="shared" si="0"/>
        <v>903.59999999999991</v>
      </c>
      <c r="N34" s="4">
        <f t="shared" si="1"/>
        <v>89</v>
      </c>
      <c r="O34" s="4">
        <f t="shared" si="3"/>
        <v>41</v>
      </c>
      <c r="P34" s="27">
        <v>130</v>
      </c>
      <c r="Q34" s="4">
        <f t="shared" si="4"/>
        <v>110.5</v>
      </c>
      <c r="R34" s="27">
        <v>50</v>
      </c>
      <c r="S34" s="17">
        <v>525</v>
      </c>
      <c r="T34">
        <f t="shared" si="5"/>
        <v>58.100929614873841</v>
      </c>
    </row>
    <row r="35" spans="1:20" x14ac:dyDescent="0.25">
      <c r="A35" s="27" t="s">
        <v>387</v>
      </c>
      <c r="B35" s="4" t="s">
        <v>121</v>
      </c>
      <c r="C35" s="4" t="s">
        <v>122</v>
      </c>
      <c r="D35" s="22" t="s">
        <v>56</v>
      </c>
      <c r="E35" s="4" t="s">
        <v>57</v>
      </c>
      <c r="F35" s="4">
        <v>90</v>
      </c>
      <c r="G35" s="4">
        <v>11.2</v>
      </c>
      <c r="H35" s="4">
        <v>1007.9999999999999</v>
      </c>
      <c r="I35" s="23">
        <v>44123</v>
      </c>
      <c r="J35" s="4">
        <v>79.599999999999994</v>
      </c>
      <c r="K35" s="4">
        <v>7163.9999999999991</v>
      </c>
      <c r="L35" s="24">
        <f>K35/H35</f>
        <v>7.1071428571428568</v>
      </c>
      <c r="M35" s="12">
        <f t="shared" ref="M35:M65" si="9">K35</f>
        <v>7163.9999999999991</v>
      </c>
      <c r="N35" s="4">
        <f t="shared" si="1"/>
        <v>89</v>
      </c>
      <c r="O35" s="4">
        <f t="shared" si="3"/>
        <v>41</v>
      </c>
      <c r="P35" s="27">
        <v>130</v>
      </c>
      <c r="Q35" s="4">
        <f t="shared" si="4"/>
        <v>110.5</v>
      </c>
      <c r="R35" s="27">
        <v>50</v>
      </c>
      <c r="S35" s="17">
        <v>3854.9999999999995</v>
      </c>
      <c r="T35">
        <f t="shared" si="5"/>
        <v>53.810720268006698</v>
      </c>
    </row>
    <row r="36" spans="1:20" x14ac:dyDescent="0.25">
      <c r="A36" s="27" t="s">
        <v>388</v>
      </c>
      <c r="B36" s="4" t="s">
        <v>123</v>
      </c>
      <c r="C36" s="4" t="s">
        <v>124</v>
      </c>
      <c r="D36" s="22" t="s">
        <v>56</v>
      </c>
      <c r="E36" s="4" t="s">
        <v>62</v>
      </c>
      <c r="F36" s="4">
        <v>90</v>
      </c>
      <c r="G36" s="4">
        <v>4.49</v>
      </c>
      <c r="H36" s="4">
        <v>404.1</v>
      </c>
      <c r="I36" s="4"/>
      <c r="J36" s="4"/>
      <c r="K36" s="4">
        <f>H36</f>
        <v>404.1</v>
      </c>
      <c r="L36" s="24"/>
      <c r="M36" s="12">
        <f t="shared" si="9"/>
        <v>404.1</v>
      </c>
      <c r="N36" s="4">
        <f t="shared" si="1"/>
        <v>89</v>
      </c>
      <c r="O36" s="4">
        <f t="shared" si="3"/>
        <v>41</v>
      </c>
      <c r="P36" s="27">
        <v>130</v>
      </c>
      <c r="Q36" s="4">
        <f t="shared" si="4"/>
        <v>110.5</v>
      </c>
      <c r="R36" s="27">
        <v>50</v>
      </c>
      <c r="S36" s="17">
        <v>177.5</v>
      </c>
      <c r="T36">
        <f t="shared" si="5"/>
        <v>43.924771096263299</v>
      </c>
    </row>
    <row r="37" spans="1:20" x14ac:dyDescent="0.25">
      <c r="A37" s="4" t="s">
        <v>389</v>
      </c>
      <c r="B37" s="4" t="s">
        <v>125</v>
      </c>
      <c r="C37" s="4" t="s">
        <v>126</v>
      </c>
      <c r="D37" s="22" t="s">
        <v>56</v>
      </c>
      <c r="E37" s="4" t="s">
        <v>57</v>
      </c>
      <c r="F37" s="4">
        <v>90</v>
      </c>
      <c r="G37" s="4">
        <v>9.09</v>
      </c>
      <c r="H37" s="4">
        <v>818.1</v>
      </c>
      <c r="I37" s="23">
        <v>44123</v>
      </c>
      <c r="J37" s="4">
        <v>14.5</v>
      </c>
      <c r="K37" s="4">
        <v>1305</v>
      </c>
      <c r="L37" s="24">
        <f>K37/H37</f>
        <v>1.5951595159515952</v>
      </c>
      <c r="M37" s="12">
        <f t="shared" si="9"/>
        <v>1305</v>
      </c>
      <c r="N37" s="4">
        <f t="shared" si="1"/>
        <v>89</v>
      </c>
      <c r="O37" s="4">
        <f t="shared" si="3"/>
        <v>41</v>
      </c>
      <c r="P37" s="4">
        <v>130</v>
      </c>
      <c r="Q37" s="4">
        <f t="shared" si="4"/>
        <v>110.5</v>
      </c>
      <c r="R37" s="4">
        <v>50</v>
      </c>
      <c r="S37" s="17">
        <v>580</v>
      </c>
      <c r="T37">
        <f t="shared" si="5"/>
        <v>44.444444444444443</v>
      </c>
    </row>
    <row r="38" spans="1:20" x14ac:dyDescent="0.25">
      <c r="A38" s="4" t="s">
        <v>390</v>
      </c>
      <c r="B38" s="4" t="s">
        <v>127</v>
      </c>
      <c r="C38" s="4" t="s">
        <v>128</v>
      </c>
      <c r="D38" s="22" t="s">
        <v>56</v>
      </c>
      <c r="E38" s="4" t="s">
        <v>62</v>
      </c>
      <c r="F38" s="4">
        <v>90</v>
      </c>
      <c r="G38" s="4">
        <v>11.3</v>
      </c>
      <c r="H38" s="4">
        <v>1017.0000000000001</v>
      </c>
      <c r="I38" s="23">
        <v>44113</v>
      </c>
      <c r="J38" s="4">
        <v>30.7</v>
      </c>
      <c r="K38" s="4">
        <f>H38</f>
        <v>1017.0000000000001</v>
      </c>
      <c r="L38" s="24"/>
      <c r="M38" s="12">
        <f t="shared" si="9"/>
        <v>1017.0000000000001</v>
      </c>
      <c r="N38" s="4">
        <f t="shared" si="1"/>
        <v>89</v>
      </c>
      <c r="O38" s="4">
        <f t="shared" si="3"/>
        <v>41</v>
      </c>
      <c r="P38" s="4">
        <v>130</v>
      </c>
      <c r="Q38" s="4">
        <f t="shared" si="4"/>
        <v>110.5</v>
      </c>
      <c r="R38" s="4">
        <v>50</v>
      </c>
      <c r="S38" s="17">
        <v>780</v>
      </c>
      <c r="T38">
        <f t="shared" si="5"/>
        <v>76.696165191740405</v>
      </c>
    </row>
    <row r="39" spans="1:20" x14ac:dyDescent="0.25">
      <c r="A39" s="4" t="s">
        <v>391</v>
      </c>
      <c r="B39" s="4" t="s">
        <v>129</v>
      </c>
      <c r="C39" s="4" t="s">
        <v>130</v>
      </c>
      <c r="D39" s="22" t="s">
        <v>56</v>
      </c>
      <c r="E39" s="4" t="s">
        <v>57</v>
      </c>
      <c r="F39" s="4">
        <v>90</v>
      </c>
      <c r="G39" s="4">
        <v>9.77</v>
      </c>
      <c r="H39" s="4">
        <v>879.3</v>
      </c>
      <c r="I39" s="23">
        <v>44123</v>
      </c>
      <c r="J39" s="4">
        <v>39.799999999999997</v>
      </c>
      <c r="K39" s="4">
        <v>3581.9999999999995</v>
      </c>
      <c r="L39" s="24">
        <f>K39/H39</f>
        <v>4.0736949846468775</v>
      </c>
      <c r="M39" s="12">
        <f t="shared" si="9"/>
        <v>3581.9999999999995</v>
      </c>
      <c r="N39" s="4">
        <f t="shared" si="1"/>
        <v>89</v>
      </c>
      <c r="O39" s="4">
        <f t="shared" si="3"/>
        <v>41</v>
      </c>
      <c r="P39" s="4">
        <v>130</v>
      </c>
      <c r="Q39" s="4">
        <f t="shared" si="4"/>
        <v>110.5</v>
      </c>
      <c r="R39" s="4">
        <v>50</v>
      </c>
      <c r="S39" s="17">
        <v>1400</v>
      </c>
      <c r="T39">
        <f t="shared" si="5"/>
        <v>39.084310441094367</v>
      </c>
    </row>
    <row r="40" spans="1:20" x14ac:dyDescent="0.25">
      <c r="A40" s="4" t="s">
        <v>392</v>
      </c>
      <c r="B40" s="4" t="s">
        <v>131</v>
      </c>
      <c r="C40" s="4" t="s">
        <v>132</v>
      </c>
      <c r="D40" s="22" t="s">
        <v>56</v>
      </c>
      <c r="E40" s="4" t="s">
        <v>57</v>
      </c>
      <c r="F40" s="4">
        <v>90</v>
      </c>
      <c r="G40" s="4">
        <v>9.99</v>
      </c>
      <c r="H40" s="4">
        <v>899.1</v>
      </c>
      <c r="I40" s="23">
        <v>44123</v>
      </c>
      <c r="J40" s="4">
        <v>47.1</v>
      </c>
      <c r="K40" s="4">
        <v>4239</v>
      </c>
      <c r="L40" s="24">
        <f>K40/H40</f>
        <v>4.7147147147147148</v>
      </c>
      <c r="M40" s="12">
        <f t="shared" si="9"/>
        <v>4239</v>
      </c>
      <c r="N40" s="4">
        <f t="shared" si="1"/>
        <v>89</v>
      </c>
      <c r="O40" s="4">
        <f t="shared" si="3"/>
        <v>41</v>
      </c>
      <c r="P40" s="4">
        <v>130</v>
      </c>
      <c r="Q40" s="4">
        <f t="shared" si="4"/>
        <v>110.5</v>
      </c>
      <c r="R40" s="4">
        <v>50</v>
      </c>
      <c r="S40" s="17">
        <v>2685</v>
      </c>
      <c r="T40">
        <f t="shared" si="5"/>
        <v>63.340410474168443</v>
      </c>
    </row>
    <row r="41" spans="1:20" x14ac:dyDescent="0.25">
      <c r="A41" s="4" t="s">
        <v>393</v>
      </c>
      <c r="B41" s="4" t="s">
        <v>133</v>
      </c>
      <c r="C41" s="4" t="s">
        <v>134</v>
      </c>
      <c r="D41" s="22" t="s">
        <v>56</v>
      </c>
      <c r="E41" s="4" t="s">
        <v>62</v>
      </c>
      <c r="F41" s="4">
        <v>90</v>
      </c>
      <c r="G41" s="4">
        <v>7.13</v>
      </c>
      <c r="H41" s="4">
        <v>641.70000000000005</v>
      </c>
      <c r="I41" s="23">
        <v>44123</v>
      </c>
      <c r="J41" s="4">
        <v>12.15</v>
      </c>
      <c r="K41" s="4">
        <v>1093.5</v>
      </c>
      <c r="L41" s="24">
        <f>K41/H41</f>
        <v>1.7040673211781205</v>
      </c>
      <c r="M41" s="12">
        <f t="shared" si="9"/>
        <v>1093.5</v>
      </c>
      <c r="N41" s="4">
        <f t="shared" si="1"/>
        <v>89</v>
      </c>
      <c r="O41" s="4">
        <f t="shared" si="3"/>
        <v>41</v>
      </c>
      <c r="P41" s="4">
        <v>130</v>
      </c>
      <c r="Q41" s="4">
        <f t="shared" si="4"/>
        <v>110.5</v>
      </c>
      <c r="R41" s="4">
        <v>50</v>
      </c>
      <c r="S41" s="17">
        <v>575</v>
      </c>
      <c r="T41">
        <f t="shared" si="5"/>
        <v>52.583447645176037</v>
      </c>
    </row>
    <row r="42" spans="1:20" x14ac:dyDescent="0.25">
      <c r="A42" s="4" t="s">
        <v>394</v>
      </c>
      <c r="B42" s="4" t="s">
        <v>135</v>
      </c>
      <c r="C42" s="4" t="s">
        <v>136</v>
      </c>
      <c r="D42" s="22" t="s">
        <v>56</v>
      </c>
      <c r="E42" s="4" t="s">
        <v>62</v>
      </c>
      <c r="F42" s="4">
        <v>90</v>
      </c>
      <c r="G42" s="4">
        <v>5.58</v>
      </c>
      <c r="H42" s="4">
        <v>502.2</v>
      </c>
      <c r="I42" s="4"/>
      <c r="J42" s="4"/>
      <c r="K42" s="4">
        <f>H42</f>
        <v>502.2</v>
      </c>
      <c r="L42" s="24"/>
      <c r="M42" s="12">
        <f t="shared" si="9"/>
        <v>502.2</v>
      </c>
      <c r="N42" s="4">
        <f t="shared" si="1"/>
        <v>89</v>
      </c>
      <c r="O42" s="4">
        <f t="shared" si="3"/>
        <v>41</v>
      </c>
      <c r="P42" s="4">
        <v>130</v>
      </c>
      <c r="Q42" s="4">
        <f t="shared" si="4"/>
        <v>110.5</v>
      </c>
      <c r="R42" s="4">
        <v>50</v>
      </c>
      <c r="S42" s="17">
        <v>396</v>
      </c>
      <c r="T42">
        <f t="shared" si="5"/>
        <v>78.853046594982075</v>
      </c>
    </row>
    <row r="43" spans="1:20" x14ac:dyDescent="0.25">
      <c r="A43" s="4" t="s">
        <v>395</v>
      </c>
      <c r="B43" s="4" t="s">
        <v>137</v>
      </c>
      <c r="C43" s="4" t="s">
        <v>138</v>
      </c>
      <c r="D43" s="22" t="s">
        <v>56</v>
      </c>
      <c r="E43" s="4" t="s">
        <v>62</v>
      </c>
      <c r="F43" s="4">
        <v>90</v>
      </c>
      <c r="G43" s="4">
        <v>9.6</v>
      </c>
      <c r="H43" s="4">
        <v>864</v>
      </c>
      <c r="I43" s="23">
        <v>44123</v>
      </c>
      <c r="J43" s="4">
        <v>19.899999999999999</v>
      </c>
      <c r="K43" s="4">
        <v>1790.9999999999998</v>
      </c>
      <c r="L43" s="24">
        <f>K43/H43</f>
        <v>2.0729166666666665</v>
      </c>
      <c r="M43" s="12">
        <f t="shared" si="9"/>
        <v>1790.9999999999998</v>
      </c>
      <c r="N43" s="4">
        <f t="shared" si="1"/>
        <v>89</v>
      </c>
      <c r="O43" s="4">
        <f t="shared" si="3"/>
        <v>41</v>
      </c>
      <c r="P43" s="4">
        <v>130</v>
      </c>
      <c r="Q43" s="4">
        <f t="shared" si="4"/>
        <v>110.5</v>
      </c>
      <c r="R43" s="4">
        <v>50</v>
      </c>
      <c r="S43" s="17">
        <v>994.99999999999989</v>
      </c>
      <c r="T43">
        <f t="shared" si="5"/>
        <v>55.555555555555557</v>
      </c>
    </row>
    <row r="44" spans="1:20" x14ac:dyDescent="0.25">
      <c r="A44" s="4" t="s">
        <v>396</v>
      </c>
      <c r="B44" s="4" t="s">
        <v>139</v>
      </c>
      <c r="C44" s="4" t="s">
        <v>140</v>
      </c>
      <c r="D44" s="22" t="s">
        <v>56</v>
      </c>
      <c r="E44" s="4" t="s">
        <v>62</v>
      </c>
      <c r="F44" s="4">
        <v>90</v>
      </c>
      <c r="G44" s="4">
        <v>7.52</v>
      </c>
      <c r="H44" s="4">
        <v>676.8</v>
      </c>
      <c r="I44" s="23">
        <v>44123</v>
      </c>
      <c r="J44" s="4">
        <v>10.06</v>
      </c>
      <c r="K44" s="4">
        <v>905.40000000000009</v>
      </c>
      <c r="L44" s="24">
        <f>K44/H44</f>
        <v>1.3377659574468088</v>
      </c>
      <c r="M44" s="12">
        <f t="shared" si="9"/>
        <v>905.40000000000009</v>
      </c>
      <c r="N44" s="4">
        <f t="shared" si="1"/>
        <v>89</v>
      </c>
      <c r="O44" s="4">
        <f t="shared" si="3"/>
        <v>41</v>
      </c>
      <c r="P44" s="4">
        <v>130</v>
      </c>
      <c r="Q44" s="4">
        <f t="shared" si="4"/>
        <v>110.5</v>
      </c>
      <c r="R44" s="4">
        <v>50</v>
      </c>
      <c r="S44" s="17">
        <v>484</v>
      </c>
      <c r="T44">
        <f t="shared" si="5"/>
        <v>53.457035564391418</v>
      </c>
    </row>
    <row r="45" spans="1:20" x14ac:dyDescent="0.25">
      <c r="A45" s="4" t="s">
        <v>397</v>
      </c>
      <c r="B45" s="4" t="s">
        <v>141</v>
      </c>
      <c r="C45" s="4" t="s">
        <v>142</v>
      </c>
      <c r="D45" s="22" t="s">
        <v>56</v>
      </c>
      <c r="E45" s="4" t="s">
        <v>57</v>
      </c>
      <c r="F45" s="4">
        <v>90</v>
      </c>
      <c r="G45" s="4">
        <v>9.67</v>
      </c>
      <c r="H45" s="4">
        <v>870.3</v>
      </c>
      <c r="I45" s="23">
        <v>44123</v>
      </c>
      <c r="J45" s="4">
        <v>20.100000000000001</v>
      </c>
      <c r="K45" s="4">
        <v>1809.0000000000002</v>
      </c>
      <c r="L45" s="24">
        <f>K45/H45</f>
        <v>2.0785935884177875</v>
      </c>
      <c r="M45" s="12">
        <f t="shared" si="9"/>
        <v>1809.0000000000002</v>
      </c>
      <c r="N45" s="4">
        <f t="shared" si="1"/>
        <v>89</v>
      </c>
      <c r="O45" s="4">
        <f t="shared" si="3"/>
        <v>41</v>
      </c>
      <c r="P45" s="4">
        <v>130</v>
      </c>
      <c r="Q45" s="4">
        <f t="shared" si="4"/>
        <v>110.5</v>
      </c>
      <c r="R45" s="4">
        <v>50</v>
      </c>
      <c r="S45" s="17">
        <v>965</v>
      </c>
      <c r="T45">
        <f t="shared" si="5"/>
        <v>53.344389165284682</v>
      </c>
    </row>
    <row r="46" spans="1:20" x14ac:dyDescent="0.25">
      <c r="A46" s="4" t="s">
        <v>398</v>
      </c>
      <c r="B46" s="4" t="s">
        <v>143</v>
      </c>
      <c r="C46" s="4" t="s">
        <v>144</v>
      </c>
      <c r="D46" s="22" t="s">
        <v>56</v>
      </c>
      <c r="E46" s="4" t="s">
        <v>62</v>
      </c>
      <c r="F46" s="4">
        <v>90</v>
      </c>
      <c r="G46" s="4">
        <v>5.39</v>
      </c>
      <c r="H46" s="4">
        <v>485.09999999999997</v>
      </c>
      <c r="I46" s="4"/>
      <c r="J46" s="4"/>
      <c r="K46" s="4">
        <f t="shared" ref="K46:K50" si="10">H46</f>
        <v>485.09999999999997</v>
      </c>
      <c r="L46" s="24"/>
      <c r="M46" s="12">
        <f t="shared" si="9"/>
        <v>485.09999999999997</v>
      </c>
      <c r="N46" s="4">
        <f t="shared" si="1"/>
        <v>89</v>
      </c>
      <c r="O46" s="4">
        <f t="shared" si="3"/>
        <v>41</v>
      </c>
      <c r="P46" s="4">
        <v>130</v>
      </c>
      <c r="Q46" s="4">
        <f t="shared" si="4"/>
        <v>110.5</v>
      </c>
      <c r="R46" s="4">
        <v>50</v>
      </c>
      <c r="S46" s="17">
        <v>260</v>
      </c>
      <c r="T46">
        <f t="shared" si="5"/>
        <v>53.597196454339311</v>
      </c>
    </row>
    <row r="47" spans="1:20" x14ac:dyDescent="0.25">
      <c r="A47" s="4" t="s">
        <v>399</v>
      </c>
      <c r="B47" s="4" t="s">
        <v>145</v>
      </c>
      <c r="C47" s="4" t="s">
        <v>146</v>
      </c>
      <c r="D47" s="22" t="s">
        <v>56</v>
      </c>
      <c r="E47" s="4" t="s">
        <v>57</v>
      </c>
      <c r="F47" s="4">
        <v>90</v>
      </c>
      <c r="G47" s="4">
        <v>10.4</v>
      </c>
      <c r="H47" s="4">
        <v>936</v>
      </c>
      <c r="I47" s="4"/>
      <c r="J47" s="4"/>
      <c r="K47" s="4">
        <f t="shared" si="10"/>
        <v>936</v>
      </c>
      <c r="L47" s="24"/>
      <c r="M47" s="12">
        <f t="shared" si="9"/>
        <v>936</v>
      </c>
      <c r="N47" s="4">
        <f t="shared" si="1"/>
        <v>89</v>
      </c>
      <c r="O47" s="4">
        <f t="shared" si="3"/>
        <v>41</v>
      </c>
      <c r="P47" s="4">
        <v>130</v>
      </c>
      <c r="Q47" s="4">
        <f t="shared" si="4"/>
        <v>110.5</v>
      </c>
      <c r="R47" s="4">
        <v>50</v>
      </c>
      <c r="S47" s="17">
        <v>2077.5</v>
      </c>
      <c r="T47">
        <f t="shared" si="5"/>
        <v>221.9551282051282</v>
      </c>
    </row>
    <row r="48" spans="1:20" x14ac:dyDescent="0.25">
      <c r="A48" s="4" t="s">
        <v>400</v>
      </c>
      <c r="B48" s="4" t="s">
        <v>147</v>
      </c>
      <c r="C48" s="4" t="s">
        <v>148</v>
      </c>
      <c r="D48" s="22" t="s">
        <v>56</v>
      </c>
      <c r="E48" s="4" t="s">
        <v>62</v>
      </c>
      <c r="F48" s="4">
        <v>90</v>
      </c>
      <c r="G48" s="4">
        <v>6.5</v>
      </c>
      <c r="H48" s="4">
        <v>585</v>
      </c>
      <c r="I48" s="4"/>
      <c r="J48" s="4"/>
      <c r="K48" s="4">
        <f t="shared" si="10"/>
        <v>585</v>
      </c>
      <c r="L48" s="24"/>
      <c r="M48" s="12">
        <f t="shared" si="9"/>
        <v>585</v>
      </c>
      <c r="N48" s="4">
        <f t="shared" si="1"/>
        <v>89</v>
      </c>
      <c r="O48" s="4">
        <f t="shared" si="3"/>
        <v>41</v>
      </c>
      <c r="P48" s="4">
        <v>130</v>
      </c>
      <c r="Q48" s="4">
        <f t="shared" si="4"/>
        <v>110.5</v>
      </c>
      <c r="R48" s="4">
        <v>50</v>
      </c>
      <c r="S48" s="17">
        <v>570</v>
      </c>
      <c r="T48">
        <f t="shared" si="5"/>
        <v>97.435897435897431</v>
      </c>
    </row>
    <row r="49" spans="1:20" x14ac:dyDescent="0.25">
      <c r="A49" s="4" t="s">
        <v>401</v>
      </c>
      <c r="B49" s="4" t="s">
        <v>149</v>
      </c>
      <c r="C49" s="4" t="s">
        <v>150</v>
      </c>
      <c r="D49" s="22" t="s">
        <v>56</v>
      </c>
      <c r="E49" s="4" t="s">
        <v>57</v>
      </c>
      <c r="F49" s="4">
        <v>90</v>
      </c>
      <c r="G49" s="4">
        <v>6.36</v>
      </c>
      <c r="H49" s="4">
        <v>572.4</v>
      </c>
      <c r="I49" s="4"/>
      <c r="J49" s="4"/>
      <c r="K49" s="4">
        <f t="shared" si="10"/>
        <v>572.4</v>
      </c>
      <c r="L49" s="24"/>
      <c r="M49" s="12">
        <f t="shared" si="9"/>
        <v>572.4</v>
      </c>
      <c r="N49" s="4">
        <f t="shared" si="1"/>
        <v>89</v>
      </c>
      <c r="O49" s="4">
        <f t="shared" si="3"/>
        <v>41</v>
      </c>
      <c r="P49" s="4">
        <v>130</v>
      </c>
      <c r="Q49" s="4">
        <f t="shared" si="4"/>
        <v>110.5</v>
      </c>
      <c r="R49" s="4">
        <v>50</v>
      </c>
      <c r="S49" s="17">
        <v>473.50000000000006</v>
      </c>
      <c r="T49">
        <f t="shared" si="5"/>
        <v>82.721872816212453</v>
      </c>
    </row>
    <row r="50" spans="1:20" x14ac:dyDescent="0.25">
      <c r="A50" s="4" t="s">
        <v>402</v>
      </c>
      <c r="B50" s="4" t="s">
        <v>151</v>
      </c>
      <c r="C50" s="4" t="s">
        <v>152</v>
      </c>
      <c r="D50" s="22" t="s">
        <v>56</v>
      </c>
      <c r="E50" s="4" t="s">
        <v>62</v>
      </c>
      <c r="F50" s="4">
        <v>90</v>
      </c>
      <c r="G50" s="4">
        <v>6.76</v>
      </c>
      <c r="H50" s="4">
        <v>608.4</v>
      </c>
      <c r="I50" s="4"/>
      <c r="J50" s="4"/>
      <c r="K50" s="4">
        <f t="shared" si="10"/>
        <v>608.4</v>
      </c>
      <c r="L50" s="24"/>
      <c r="M50" s="12">
        <f t="shared" si="9"/>
        <v>608.4</v>
      </c>
      <c r="N50" s="4">
        <f t="shared" si="1"/>
        <v>89</v>
      </c>
      <c r="O50" s="4">
        <f t="shared" si="3"/>
        <v>41</v>
      </c>
      <c r="P50" s="4">
        <v>130</v>
      </c>
      <c r="Q50" s="4">
        <f t="shared" si="4"/>
        <v>110.5</v>
      </c>
      <c r="R50" s="4">
        <v>50</v>
      </c>
      <c r="S50" s="17">
        <v>447.49999999999994</v>
      </c>
      <c r="T50">
        <f t="shared" si="5"/>
        <v>73.553583168967776</v>
      </c>
    </row>
    <row r="51" spans="1:20" x14ac:dyDescent="0.25">
      <c r="A51" s="4" t="s">
        <v>403</v>
      </c>
      <c r="B51" s="4" t="s">
        <v>153</v>
      </c>
      <c r="C51" s="4" t="s">
        <v>154</v>
      </c>
      <c r="D51" s="22" t="s">
        <v>56</v>
      </c>
      <c r="E51" s="4" t="s">
        <v>57</v>
      </c>
      <c r="F51" s="4">
        <v>90</v>
      </c>
      <c r="G51" s="4">
        <v>10.8</v>
      </c>
      <c r="H51" s="4">
        <v>972.00000000000011</v>
      </c>
      <c r="I51" s="23">
        <v>44124</v>
      </c>
      <c r="J51" s="4">
        <v>78.2</v>
      </c>
      <c r="K51" s="4">
        <v>7038</v>
      </c>
      <c r="L51" s="24">
        <f>K51/H51</f>
        <v>7.2407407407407396</v>
      </c>
      <c r="M51" s="12">
        <f t="shared" si="9"/>
        <v>7038</v>
      </c>
      <c r="N51" s="4">
        <f t="shared" ref="N51:N99" si="11">F51-1</f>
        <v>89</v>
      </c>
      <c r="O51" s="4">
        <f t="shared" ref="O51:O99" si="12">130-N51</f>
        <v>41</v>
      </c>
      <c r="P51" s="4">
        <v>130</v>
      </c>
      <c r="Q51" s="4">
        <f t="shared" si="4"/>
        <v>110.5</v>
      </c>
      <c r="R51" s="4">
        <v>50</v>
      </c>
      <c r="S51" s="17">
        <v>3585</v>
      </c>
      <c r="T51">
        <f t="shared" si="5"/>
        <v>50.937766410912189</v>
      </c>
    </row>
    <row r="52" spans="1:20" x14ac:dyDescent="0.25">
      <c r="A52" s="4" t="s">
        <v>404</v>
      </c>
      <c r="B52" s="4" t="s">
        <v>155</v>
      </c>
      <c r="C52" s="4" t="s">
        <v>156</v>
      </c>
      <c r="D52" s="22" t="s">
        <v>56</v>
      </c>
      <c r="E52" s="4" t="s">
        <v>57</v>
      </c>
      <c r="F52" s="4">
        <v>90</v>
      </c>
      <c r="G52" s="4">
        <v>11.4</v>
      </c>
      <c r="H52" s="4">
        <v>1026</v>
      </c>
      <c r="I52" s="23">
        <v>44124</v>
      </c>
      <c r="J52" s="4">
        <v>90.7</v>
      </c>
      <c r="K52" s="4">
        <v>8163</v>
      </c>
      <c r="L52" s="24">
        <f>K52/H52</f>
        <v>7.9561403508771926</v>
      </c>
      <c r="M52" s="12">
        <f t="shared" si="9"/>
        <v>8163</v>
      </c>
      <c r="N52" s="4">
        <f t="shared" si="11"/>
        <v>89</v>
      </c>
      <c r="O52" s="4">
        <f t="shared" si="12"/>
        <v>41</v>
      </c>
      <c r="P52" s="4">
        <v>130</v>
      </c>
      <c r="Q52" s="4">
        <f t="shared" si="4"/>
        <v>110.5</v>
      </c>
      <c r="R52" s="4">
        <v>50</v>
      </c>
      <c r="S52" s="17">
        <v>3225</v>
      </c>
      <c r="T52">
        <f t="shared" si="5"/>
        <v>39.507533994854832</v>
      </c>
    </row>
    <row r="53" spans="1:20" x14ac:dyDescent="0.25">
      <c r="A53" s="4" t="s">
        <v>405</v>
      </c>
      <c r="B53" s="4" t="s">
        <v>157</v>
      </c>
      <c r="C53" s="4" t="s">
        <v>158</v>
      </c>
      <c r="D53" s="22" t="s">
        <v>56</v>
      </c>
      <c r="E53" s="4" t="s">
        <v>62</v>
      </c>
      <c r="F53" s="4">
        <v>90</v>
      </c>
      <c r="G53" s="4">
        <v>10.5</v>
      </c>
      <c r="H53" s="4">
        <v>945</v>
      </c>
      <c r="I53" s="23">
        <v>44124</v>
      </c>
      <c r="J53" s="4">
        <v>18.25</v>
      </c>
      <c r="K53" s="4">
        <v>1642.5</v>
      </c>
      <c r="L53" s="24">
        <f>K53/H53</f>
        <v>1.7380952380952381</v>
      </c>
      <c r="M53" s="12">
        <f t="shared" si="9"/>
        <v>1642.5</v>
      </c>
      <c r="N53" s="4">
        <f t="shared" si="11"/>
        <v>89</v>
      </c>
      <c r="O53" s="4">
        <f t="shared" si="12"/>
        <v>41</v>
      </c>
      <c r="P53" s="4">
        <v>120</v>
      </c>
      <c r="Q53" s="4">
        <f t="shared" si="4"/>
        <v>102</v>
      </c>
      <c r="R53" s="4">
        <v>50</v>
      </c>
      <c r="S53" s="17">
        <v>582.49999999999989</v>
      </c>
      <c r="T53">
        <f t="shared" si="5"/>
        <v>35.464231354642308</v>
      </c>
    </row>
    <row r="54" spans="1:20" x14ac:dyDescent="0.25">
      <c r="A54" s="4" t="s">
        <v>406</v>
      </c>
      <c r="B54" s="4" t="s">
        <v>159</v>
      </c>
      <c r="C54" s="4" t="s">
        <v>160</v>
      </c>
      <c r="D54" s="22" t="s">
        <v>56</v>
      </c>
      <c r="E54" s="4" t="s">
        <v>57</v>
      </c>
      <c r="F54" s="4">
        <v>90</v>
      </c>
      <c r="G54" s="4">
        <v>11.7</v>
      </c>
      <c r="H54" s="4">
        <v>1053</v>
      </c>
      <c r="I54" s="23">
        <v>44124</v>
      </c>
      <c r="J54" s="4">
        <v>38.6</v>
      </c>
      <c r="K54" s="4">
        <v>3474</v>
      </c>
      <c r="L54" s="24">
        <f>K54/H54</f>
        <v>3.299145299145299</v>
      </c>
      <c r="M54" s="12">
        <f t="shared" si="9"/>
        <v>3474</v>
      </c>
      <c r="N54" s="4">
        <f t="shared" si="11"/>
        <v>89</v>
      </c>
      <c r="O54" s="4">
        <f t="shared" si="12"/>
        <v>41</v>
      </c>
      <c r="P54" s="4">
        <v>120</v>
      </c>
      <c r="Q54" s="4">
        <f t="shared" si="4"/>
        <v>102</v>
      </c>
      <c r="R54" s="4">
        <v>50</v>
      </c>
      <c r="S54" s="17">
        <v>1180</v>
      </c>
      <c r="T54">
        <f t="shared" si="5"/>
        <v>33.966609096142776</v>
      </c>
    </row>
    <row r="55" spans="1:20" x14ac:dyDescent="0.25">
      <c r="A55" s="4" t="s">
        <v>407</v>
      </c>
      <c r="B55" s="4" t="s">
        <v>161</v>
      </c>
      <c r="C55" s="4" t="s">
        <v>162</v>
      </c>
      <c r="D55" s="22" t="s">
        <v>56</v>
      </c>
      <c r="E55" s="4" t="s">
        <v>57</v>
      </c>
      <c r="F55" s="4">
        <v>90</v>
      </c>
      <c r="G55" s="4">
        <v>11.1</v>
      </c>
      <c r="H55" s="4">
        <v>999</v>
      </c>
      <c r="I55" s="23">
        <v>44124</v>
      </c>
      <c r="J55" s="4">
        <v>22.6</v>
      </c>
      <c r="K55" s="4">
        <v>2034.0000000000002</v>
      </c>
      <c r="L55" s="24">
        <f>K55/H55</f>
        <v>2.0360360360360361</v>
      </c>
      <c r="M55" s="12">
        <f t="shared" si="9"/>
        <v>2034.0000000000002</v>
      </c>
      <c r="N55" s="4">
        <f t="shared" si="11"/>
        <v>89</v>
      </c>
      <c r="O55" s="4">
        <f t="shared" si="12"/>
        <v>41</v>
      </c>
      <c r="P55" s="4">
        <v>125</v>
      </c>
      <c r="Q55" s="4">
        <f t="shared" si="4"/>
        <v>106.25</v>
      </c>
      <c r="R55" s="4">
        <v>50</v>
      </c>
      <c r="S55" s="17">
        <v>637.5</v>
      </c>
      <c r="T55">
        <f t="shared" si="5"/>
        <v>31.342182890855451</v>
      </c>
    </row>
    <row r="56" spans="1:20" x14ac:dyDescent="0.25">
      <c r="A56" s="4" t="s">
        <v>408</v>
      </c>
      <c r="B56" s="4" t="s">
        <v>163</v>
      </c>
      <c r="C56" s="4" t="s">
        <v>164</v>
      </c>
      <c r="D56" s="22" t="s">
        <v>56</v>
      </c>
      <c r="E56" s="4" t="s">
        <v>62</v>
      </c>
      <c r="F56" s="4">
        <v>90</v>
      </c>
      <c r="G56" s="4">
        <v>6.5</v>
      </c>
      <c r="H56" s="4">
        <v>585</v>
      </c>
      <c r="I56" s="4"/>
      <c r="J56" s="4"/>
      <c r="K56" s="4">
        <f t="shared" ref="K56" si="13">H56</f>
        <v>585</v>
      </c>
      <c r="L56" s="24"/>
      <c r="M56" s="12">
        <f t="shared" si="9"/>
        <v>585</v>
      </c>
      <c r="N56" s="4">
        <f t="shared" si="11"/>
        <v>89</v>
      </c>
      <c r="O56" s="4">
        <f t="shared" si="12"/>
        <v>41</v>
      </c>
      <c r="P56" s="4">
        <v>130</v>
      </c>
      <c r="Q56" s="4">
        <f t="shared" si="4"/>
        <v>110.5</v>
      </c>
      <c r="R56" s="4">
        <v>50</v>
      </c>
      <c r="S56" s="17">
        <v>390</v>
      </c>
      <c r="T56">
        <f t="shared" si="5"/>
        <v>66.666666666666657</v>
      </c>
    </row>
    <row r="57" spans="1:20" x14ac:dyDescent="0.25">
      <c r="A57" s="4" t="s">
        <v>409</v>
      </c>
      <c r="B57" s="4" t="s">
        <v>165</v>
      </c>
      <c r="C57" s="4" t="s">
        <v>166</v>
      </c>
      <c r="D57" s="22" t="s">
        <v>56</v>
      </c>
      <c r="E57" s="4" t="s">
        <v>57</v>
      </c>
      <c r="F57" s="4">
        <v>90</v>
      </c>
      <c r="G57" s="4">
        <v>10.7</v>
      </c>
      <c r="H57" s="4">
        <v>962.99999999999989</v>
      </c>
      <c r="I57" s="23">
        <v>44124</v>
      </c>
      <c r="J57" s="4">
        <v>28.2</v>
      </c>
      <c r="K57" s="4">
        <v>2538</v>
      </c>
      <c r="L57" s="24">
        <f>K57/H57</f>
        <v>2.6355140186915893</v>
      </c>
      <c r="M57" s="12">
        <f t="shared" si="9"/>
        <v>2538</v>
      </c>
      <c r="N57" s="4">
        <f t="shared" si="11"/>
        <v>89</v>
      </c>
      <c r="O57" s="4">
        <f t="shared" si="12"/>
        <v>41</v>
      </c>
      <c r="P57" s="4">
        <v>130</v>
      </c>
      <c r="Q57" s="4">
        <f t="shared" si="4"/>
        <v>110.5</v>
      </c>
      <c r="R57" s="4">
        <v>50</v>
      </c>
      <c r="S57" s="17">
        <v>831.25</v>
      </c>
      <c r="T57">
        <f t="shared" si="5"/>
        <v>32.752167060677699</v>
      </c>
    </row>
    <row r="58" spans="1:20" x14ac:dyDescent="0.25">
      <c r="A58" s="4" t="s">
        <v>410</v>
      </c>
      <c r="B58" s="4" t="s">
        <v>167</v>
      </c>
      <c r="C58" s="4" t="s">
        <v>168</v>
      </c>
      <c r="D58" s="22" t="s">
        <v>56</v>
      </c>
      <c r="E58" s="4" t="s">
        <v>62</v>
      </c>
      <c r="F58" s="4">
        <v>90</v>
      </c>
      <c r="G58" s="4">
        <v>12</v>
      </c>
      <c r="H58" s="4">
        <v>1080</v>
      </c>
      <c r="I58" s="23">
        <v>44113</v>
      </c>
      <c r="J58" s="4">
        <v>21.1</v>
      </c>
      <c r="K58" s="4">
        <v>1899.0000000000002</v>
      </c>
      <c r="L58" s="24">
        <f>K58/H58</f>
        <v>1.7583333333333335</v>
      </c>
      <c r="M58" s="12">
        <f t="shared" si="9"/>
        <v>1899.0000000000002</v>
      </c>
      <c r="N58" s="4">
        <f t="shared" si="11"/>
        <v>89</v>
      </c>
      <c r="O58" s="4">
        <f t="shared" si="12"/>
        <v>41</v>
      </c>
      <c r="P58" s="4">
        <v>130</v>
      </c>
      <c r="Q58" s="4">
        <f t="shared" si="4"/>
        <v>110.5</v>
      </c>
      <c r="R58" s="4">
        <v>50</v>
      </c>
      <c r="S58" s="17">
        <v>1100</v>
      </c>
      <c r="T58">
        <f t="shared" si="5"/>
        <v>57.925223802001049</v>
      </c>
    </row>
    <row r="59" spans="1:20" x14ac:dyDescent="0.25">
      <c r="A59" s="4" t="s">
        <v>411</v>
      </c>
      <c r="B59" s="4" t="s">
        <v>169</v>
      </c>
      <c r="C59" s="4" t="s">
        <v>170</v>
      </c>
      <c r="D59" s="22" t="s">
        <v>56</v>
      </c>
      <c r="E59" s="4" t="s">
        <v>57</v>
      </c>
      <c r="F59" s="4">
        <v>90</v>
      </c>
      <c r="G59" s="4">
        <v>7.15</v>
      </c>
      <c r="H59" s="4">
        <v>643.5</v>
      </c>
      <c r="I59" s="23">
        <v>44124</v>
      </c>
      <c r="J59" s="4">
        <v>10.55</v>
      </c>
      <c r="K59" s="4">
        <v>949.50000000000011</v>
      </c>
      <c r="L59" s="24">
        <f>K59/H59</f>
        <v>1.4755244755244756</v>
      </c>
      <c r="M59" s="12">
        <f t="shared" si="9"/>
        <v>949.50000000000011</v>
      </c>
      <c r="N59" s="4">
        <f t="shared" si="11"/>
        <v>89</v>
      </c>
      <c r="O59" s="4">
        <f t="shared" si="12"/>
        <v>41</v>
      </c>
      <c r="P59" s="4">
        <v>125</v>
      </c>
      <c r="Q59" s="4">
        <f t="shared" si="4"/>
        <v>106.25</v>
      </c>
      <c r="R59" s="4">
        <v>50</v>
      </c>
      <c r="S59" s="17">
        <v>376.49999999999994</v>
      </c>
      <c r="T59">
        <f t="shared" si="5"/>
        <v>39.652448657187982</v>
      </c>
    </row>
    <row r="60" spans="1:20" x14ac:dyDescent="0.25">
      <c r="A60" s="4" t="s">
        <v>412</v>
      </c>
      <c r="B60" s="4" t="s">
        <v>171</v>
      </c>
      <c r="C60" s="4" t="s">
        <v>172</v>
      </c>
      <c r="D60" s="22" t="s">
        <v>56</v>
      </c>
      <c r="E60" s="4" t="s">
        <v>62</v>
      </c>
      <c r="F60" s="4">
        <v>90</v>
      </c>
      <c r="G60" s="4">
        <v>9.11</v>
      </c>
      <c r="H60" s="4">
        <v>819.9</v>
      </c>
      <c r="I60" s="23">
        <v>44113</v>
      </c>
      <c r="J60" s="4">
        <v>9.44</v>
      </c>
      <c r="K60" s="4">
        <v>849.59999999999991</v>
      </c>
      <c r="L60" s="24">
        <f>K60/H60</f>
        <v>1.0362239297475302</v>
      </c>
      <c r="M60" s="12">
        <f t="shared" si="9"/>
        <v>849.59999999999991</v>
      </c>
      <c r="N60" s="4">
        <f t="shared" si="11"/>
        <v>89</v>
      </c>
      <c r="O60" s="4">
        <f t="shared" si="12"/>
        <v>41</v>
      </c>
      <c r="P60" s="4">
        <v>130</v>
      </c>
      <c r="Q60" s="4">
        <f t="shared" si="4"/>
        <v>110.5</v>
      </c>
      <c r="R60" s="4">
        <v>50</v>
      </c>
      <c r="S60" s="17">
        <v>480.5</v>
      </c>
      <c r="T60">
        <f t="shared" si="5"/>
        <v>56.556026365348409</v>
      </c>
    </row>
    <row r="61" spans="1:20" x14ac:dyDescent="0.25">
      <c r="A61" s="27" t="s">
        <v>413</v>
      </c>
      <c r="B61" s="4" t="s">
        <v>173</v>
      </c>
      <c r="C61" s="4" t="s">
        <v>174</v>
      </c>
      <c r="D61" s="22" t="s">
        <v>56</v>
      </c>
      <c r="E61" s="4" t="s">
        <v>57</v>
      </c>
      <c r="F61" s="4">
        <v>90</v>
      </c>
      <c r="G61" s="4">
        <v>11.4</v>
      </c>
      <c r="H61" s="4">
        <v>1026</v>
      </c>
      <c r="I61" s="23">
        <v>44124</v>
      </c>
      <c r="J61" s="4">
        <v>30.5</v>
      </c>
      <c r="K61" s="4">
        <v>2745</v>
      </c>
      <c r="L61" s="24">
        <f>K61/H61</f>
        <v>2.6754385964912282</v>
      </c>
      <c r="M61" s="12">
        <f t="shared" si="9"/>
        <v>2745</v>
      </c>
      <c r="N61" s="4">
        <f t="shared" si="11"/>
        <v>89</v>
      </c>
      <c r="O61" s="4">
        <f t="shared" si="12"/>
        <v>41</v>
      </c>
      <c r="P61" s="27">
        <v>130</v>
      </c>
      <c r="Q61" s="4">
        <f t="shared" si="4"/>
        <v>110.5</v>
      </c>
      <c r="R61" s="27">
        <v>50</v>
      </c>
      <c r="S61" s="17">
        <v>1260</v>
      </c>
      <c r="T61">
        <f t="shared" si="5"/>
        <v>45.901639344262293</v>
      </c>
    </row>
    <row r="62" spans="1:20" x14ac:dyDescent="0.25">
      <c r="A62" s="27" t="s">
        <v>414</v>
      </c>
      <c r="B62" s="4" t="s">
        <v>175</v>
      </c>
      <c r="C62" s="4" t="s">
        <v>176</v>
      </c>
      <c r="D62" s="22" t="s">
        <v>56</v>
      </c>
      <c r="E62" s="4" t="s">
        <v>62</v>
      </c>
      <c r="F62" s="4">
        <v>90</v>
      </c>
      <c r="G62" s="4">
        <v>5.33</v>
      </c>
      <c r="H62" s="4">
        <v>479.7</v>
      </c>
      <c r="I62" s="4"/>
      <c r="J62" s="4"/>
      <c r="K62" s="4">
        <f t="shared" ref="K62:K63" si="14">H62</f>
        <v>479.7</v>
      </c>
      <c r="L62" s="24"/>
      <c r="M62" s="12">
        <f t="shared" si="9"/>
        <v>479.7</v>
      </c>
      <c r="N62" s="4">
        <f t="shared" si="11"/>
        <v>89</v>
      </c>
      <c r="O62" s="4">
        <f t="shared" si="12"/>
        <v>41</v>
      </c>
      <c r="P62" s="27">
        <v>130</v>
      </c>
      <c r="Q62" s="4">
        <f t="shared" si="4"/>
        <v>110.5</v>
      </c>
      <c r="R62" s="27">
        <v>50</v>
      </c>
      <c r="S62" s="17">
        <v>74</v>
      </c>
      <c r="T62">
        <f t="shared" si="5"/>
        <v>15.42630810923494</v>
      </c>
    </row>
    <row r="63" spans="1:20" x14ac:dyDescent="0.25">
      <c r="A63" s="4" t="s">
        <v>415</v>
      </c>
      <c r="B63" s="4" t="s">
        <v>177</v>
      </c>
      <c r="C63" s="4" t="s">
        <v>178</v>
      </c>
      <c r="D63" s="22" t="s">
        <v>56</v>
      </c>
      <c r="E63" s="4" t="s">
        <v>57</v>
      </c>
      <c r="F63" s="4">
        <v>90</v>
      </c>
      <c r="G63" s="4">
        <v>6.8</v>
      </c>
      <c r="H63" s="4">
        <v>612</v>
      </c>
      <c r="I63" s="4"/>
      <c r="J63" s="4"/>
      <c r="K63" s="4">
        <f t="shared" si="14"/>
        <v>612</v>
      </c>
      <c r="L63" s="24"/>
      <c r="M63" s="12">
        <f t="shared" si="9"/>
        <v>612</v>
      </c>
      <c r="N63" s="4">
        <f t="shared" si="11"/>
        <v>89</v>
      </c>
      <c r="O63" s="4">
        <f t="shared" si="12"/>
        <v>41</v>
      </c>
      <c r="P63" s="4">
        <v>130</v>
      </c>
      <c r="Q63" s="4">
        <f t="shared" si="4"/>
        <v>110.5</v>
      </c>
      <c r="R63" s="4">
        <v>50</v>
      </c>
      <c r="S63" s="17">
        <v>281.50000000000006</v>
      </c>
      <c r="T63">
        <f t="shared" si="5"/>
        <v>45.996732026143796</v>
      </c>
    </row>
    <row r="64" spans="1:20" x14ac:dyDescent="0.25">
      <c r="A64" s="4" t="s">
        <v>416</v>
      </c>
      <c r="B64" s="4" t="s">
        <v>179</v>
      </c>
      <c r="C64" s="4" t="s">
        <v>180</v>
      </c>
      <c r="D64" s="22" t="s">
        <v>56</v>
      </c>
      <c r="E64" s="4" t="s">
        <v>57</v>
      </c>
      <c r="F64" s="4">
        <v>90</v>
      </c>
      <c r="G64" s="4">
        <v>10.199999999999999</v>
      </c>
      <c r="H64" s="4">
        <v>917.99999999999989</v>
      </c>
      <c r="I64" s="23">
        <v>44124</v>
      </c>
      <c r="J64" s="4">
        <v>18.45</v>
      </c>
      <c r="K64" s="4">
        <v>1660.5</v>
      </c>
      <c r="L64" s="24">
        <f>K64/H64</f>
        <v>1.8088235294117649</v>
      </c>
      <c r="M64" s="12">
        <f t="shared" si="9"/>
        <v>1660.5</v>
      </c>
      <c r="N64" s="4">
        <f t="shared" si="11"/>
        <v>89</v>
      </c>
      <c r="O64" s="4">
        <f t="shared" si="12"/>
        <v>41</v>
      </c>
      <c r="P64" s="4">
        <v>130</v>
      </c>
      <c r="Q64" s="4">
        <f t="shared" si="4"/>
        <v>110.5</v>
      </c>
      <c r="R64" s="4">
        <v>50</v>
      </c>
      <c r="S64" s="17">
        <v>695</v>
      </c>
      <c r="T64">
        <f t="shared" si="5"/>
        <v>41.854862993074377</v>
      </c>
    </row>
    <row r="65" spans="1:20" x14ac:dyDescent="0.25">
      <c r="A65" s="4" t="s">
        <v>417</v>
      </c>
      <c r="B65" s="4" t="s">
        <v>181</v>
      </c>
      <c r="C65" s="4" t="s">
        <v>182</v>
      </c>
      <c r="D65" s="22" t="s">
        <v>56</v>
      </c>
      <c r="E65" s="4" t="s">
        <v>62</v>
      </c>
      <c r="F65" s="4">
        <v>90</v>
      </c>
      <c r="G65" s="4">
        <v>8.7799999999999994</v>
      </c>
      <c r="H65" s="4">
        <v>790.19999999999993</v>
      </c>
      <c r="I65" s="23">
        <v>44124</v>
      </c>
      <c r="J65" s="4">
        <v>13.65</v>
      </c>
      <c r="K65" s="4">
        <v>1228.5</v>
      </c>
      <c r="L65" s="24">
        <f>K65/H65</f>
        <v>1.5546697038724375</v>
      </c>
      <c r="M65" s="12">
        <f t="shared" si="9"/>
        <v>1228.5</v>
      </c>
      <c r="N65" s="4">
        <f t="shared" si="11"/>
        <v>89</v>
      </c>
      <c r="O65" s="4">
        <f t="shared" si="12"/>
        <v>41</v>
      </c>
      <c r="P65" s="4">
        <v>130</v>
      </c>
      <c r="Q65" s="4">
        <f t="shared" si="4"/>
        <v>110.5</v>
      </c>
      <c r="R65" s="4">
        <v>50</v>
      </c>
      <c r="S65" s="17">
        <v>705</v>
      </c>
      <c r="T65">
        <f t="shared" si="5"/>
        <v>57.387057387057382</v>
      </c>
    </row>
    <row r="66" spans="1:20" x14ac:dyDescent="0.25">
      <c r="A66" s="4" t="s">
        <v>418</v>
      </c>
      <c r="B66" s="4" t="s">
        <v>183</v>
      </c>
      <c r="C66" s="4" t="s">
        <v>184</v>
      </c>
      <c r="D66" s="22" t="s">
        <v>56</v>
      </c>
      <c r="E66" s="4" t="s">
        <v>57</v>
      </c>
      <c r="F66" s="4">
        <v>90</v>
      </c>
      <c r="G66" s="4">
        <v>9.24</v>
      </c>
      <c r="H66" s="4">
        <v>831.6</v>
      </c>
      <c r="I66" s="23">
        <v>44124</v>
      </c>
      <c r="J66" s="4">
        <v>15.65</v>
      </c>
      <c r="K66" s="4">
        <v>1408.5</v>
      </c>
      <c r="L66" s="24">
        <f>K66/H66</f>
        <v>1.6937229437229437</v>
      </c>
      <c r="M66" s="12">
        <f t="shared" ref="M66:M99" si="15">K66</f>
        <v>1408.5</v>
      </c>
      <c r="N66" s="4">
        <f t="shared" si="11"/>
        <v>89</v>
      </c>
      <c r="O66" s="4">
        <f t="shared" si="12"/>
        <v>41</v>
      </c>
      <c r="P66" s="4">
        <v>130</v>
      </c>
      <c r="Q66" s="4">
        <f t="shared" si="4"/>
        <v>110.5</v>
      </c>
      <c r="R66" s="4">
        <v>50</v>
      </c>
      <c r="S66" s="17">
        <v>577.5</v>
      </c>
      <c r="T66">
        <f t="shared" si="5"/>
        <v>41.001064962726304</v>
      </c>
    </row>
    <row r="67" spans="1:20" x14ac:dyDescent="0.25">
      <c r="A67" s="4" t="s">
        <v>419</v>
      </c>
      <c r="B67" s="4" t="s">
        <v>185</v>
      </c>
      <c r="C67" s="4" t="s">
        <v>186</v>
      </c>
      <c r="D67" s="22" t="s">
        <v>56</v>
      </c>
      <c r="E67" s="4" t="s">
        <v>57</v>
      </c>
      <c r="F67" s="4">
        <v>90</v>
      </c>
      <c r="G67" s="4">
        <v>10.8</v>
      </c>
      <c r="H67" s="4">
        <v>972.00000000000011</v>
      </c>
      <c r="I67" s="23">
        <v>44124</v>
      </c>
      <c r="J67" s="4">
        <v>40.9</v>
      </c>
      <c r="K67" s="4">
        <v>3681</v>
      </c>
      <c r="L67" s="24">
        <f>K67/H67</f>
        <v>3.7870370370370368</v>
      </c>
      <c r="M67" s="12">
        <f t="shared" si="15"/>
        <v>3681</v>
      </c>
      <c r="N67" s="4">
        <f t="shared" si="11"/>
        <v>89</v>
      </c>
      <c r="O67" s="4">
        <f t="shared" si="12"/>
        <v>41</v>
      </c>
      <c r="P67" s="4">
        <v>130</v>
      </c>
      <c r="Q67" s="4">
        <f t="shared" si="4"/>
        <v>110.5</v>
      </c>
      <c r="R67" s="4">
        <v>50</v>
      </c>
      <c r="S67" s="17">
        <v>1620</v>
      </c>
      <c r="T67">
        <f t="shared" si="5"/>
        <v>44.009779951100242</v>
      </c>
    </row>
    <row r="68" spans="1:20" x14ac:dyDescent="0.25">
      <c r="A68" s="4" t="s">
        <v>420</v>
      </c>
      <c r="B68" s="4" t="s">
        <v>187</v>
      </c>
      <c r="C68" s="4" t="s">
        <v>188</v>
      </c>
      <c r="D68" s="22" t="s">
        <v>56</v>
      </c>
      <c r="E68" s="4" t="s">
        <v>62</v>
      </c>
      <c r="F68" s="4">
        <v>90</v>
      </c>
      <c r="G68" s="4">
        <v>6.62</v>
      </c>
      <c r="H68" s="4">
        <v>595.79999999999995</v>
      </c>
      <c r="I68" s="4"/>
      <c r="J68" s="4"/>
      <c r="K68" s="4">
        <f t="shared" ref="K68" si="16">H68</f>
        <v>595.79999999999995</v>
      </c>
      <c r="L68" s="24"/>
      <c r="M68" s="12">
        <f t="shared" si="15"/>
        <v>595.79999999999995</v>
      </c>
      <c r="N68" s="4">
        <f t="shared" si="11"/>
        <v>89</v>
      </c>
      <c r="O68" s="4">
        <f t="shared" si="12"/>
        <v>41</v>
      </c>
      <c r="P68" s="4">
        <v>130</v>
      </c>
      <c r="Q68" s="4">
        <f t="shared" ref="Q68:Q131" si="17">P68*0.85</f>
        <v>110.5</v>
      </c>
      <c r="R68" s="4">
        <v>50</v>
      </c>
      <c r="S68" s="17">
        <v>319.5</v>
      </c>
      <c r="T68">
        <f t="shared" ref="T68:T131" si="18">S68/M68*100</f>
        <v>53.625377643504535</v>
      </c>
    </row>
    <row r="69" spans="1:20" x14ac:dyDescent="0.25">
      <c r="A69" s="4" t="s">
        <v>421</v>
      </c>
      <c r="B69" s="4" t="s">
        <v>189</v>
      </c>
      <c r="C69" s="4" t="s">
        <v>190</v>
      </c>
      <c r="D69" s="22" t="s">
        <v>56</v>
      </c>
      <c r="E69" s="4" t="s">
        <v>57</v>
      </c>
      <c r="F69" s="4">
        <v>80</v>
      </c>
      <c r="G69" s="4">
        <v>33.200000000000003</v>
      </c>
      <c r="H69" s="4">
        <v>2656</v>
      </c>
      <c r="I69" s="23">
        <v>44124</v>
      </c>
      <c r="J69" s="4">
        <v>41.2</v>
      </c>
      <c r="K69" s="4">
        <v>3296</v>
      </c>
      <c r="L69" s="24">
        <f>K69/H69</f>
        <v>1.2409638554216869</v>
      </c>
      <c r="M69" s="12">
        <f t="shared" si="15"/>
        <v>3296</v>
      </c>
      <c r="N69" s="4">
        <f t="shared" si="11"/>
        <v>79</v>
      </c>
      <c r="O69" s="4">
        <f t="shared" si="12"/>
        <v>51</v>
      </c>
      <c r="P69" s="4">
        <v>130</v>
      </c>
      <c r="Q69" s="4">
        <f t="shared" si="17"/>
        <v>110.5</v>
      </c>
      <c r="R69" s="4">
        <v>50</v>
      </c>
      <c r="S69" s="17">
        <v>1375</v>
      </c>
      <c r="T69">
        <f t="shared" si="18"/>
        <v>41.717233009708735</v>
      </c>
    </row>
    <row r="70" spans="1:20" x14ac:dyDescent="0.25">
      <c r="A70" s="4" t="s">
        <v>422</v>
      </c>
      <c r="B70" s="4" t="s">
        <v>191</v>
      </c>
      <c r="C70" s="4" t="s">
        <v>192</v>
      </c>
      <c r="D70" s="22" t="s">
        <v>56</v>
      </c>
      <c r="E70" s="4" t="s">
        <v>62</v>
      </c>
      <c r="F70" s="4">
        <v>90</v>
      </c>
      <c r="G70" s="4">
        <v>7.49</v>
      </c>
      <c r="H70" s="4">
        <v>674.1</v>
      </c>
      <c r="I70" s="23">
        <v>44124</v>
      </c>
      <c r="J70" s="4">
        <v>8.06</v>
      </c>
      <c r="K70" s="4">
        <v>725.40000000000009</v>
      </c>
      <c r="L70" s="24">
        <f>K70/H70</f>
        <v>1.0761014686248331</v>
      </c>
      <c r="M70" s="12">
        <f t="shared" si="15"/>
        <v>725.40000000000009</v>
      </c>
      <c r="N70" s="4">
        <f t="shared" si="11"/>
        <v>89</v>
      </c>
      <c r="O70" s="4">
        <f t="shared" si="12"/>
        <v>41</v>
      </c>
      <c r="P70" s="4">
        <v>130</v>
      </c>
      <c r="Q70" s="4">
        <f t="shared" si="17"/>
        <v>110.5</v>
      </c>
      <c r="R70" s="4">
        <v>50</v>
      </c>
      <c r="S70" s="17">
        <v>345.5</v>
      </c>
      <c r="T70">
        <f t="shared" si="18"/>
        <v>47.628894403087948</v>
      </c>
    </row>
    <row r="71" spans="1:20" x14ac:dyDescent="0.25">
      <c r="A71" s="4" t="s">
        <v>423</v>
      </c>
      <c r="B71" s="4" t="s">
        <v>193</v>
      </c>
      <c r="C71" s="4" t="s">
        <v>194</v>
      </c>
      <c r="D71" s="22" t="s">
        <v>56</v>
      </c>
      <c r="E71" s="4" t="s">
        <v>57</v>
      </c>
      <c r="F71" s="4">
        <v>90</v>
      </c>
      <c r="G71" s="4">
        <v>5.48</v>
      </c>
      <c r="H71" s="4">
        <v>493.20000000000005</v>
      </c>
      <c r="I71" s="4"/>
      <c r="J71" s="4"/>
      <c r="K71" s="4">
        <f t="shared" ref="K71" si="19">H71</f>
        <v>493.20000000000005</v>
      </c>
      <c r="L71" s="24"/>
      <c r="M71" s="12">
        <f t="shared" si="15"/>
        <v>493.20000000000005</v>
      </c>
      <c r="N71" s="4">
        <f t="shared" si="11"/>
        <v>89</v>
      </c>
      <c r="O71" s="4">
        <f t="shared" si="12"/>
        <v>41</v>
      </c>
      <c r="P71" s="4">
        <v>130</v>
      </c>
      <c r="Q71" s="4">
        <f t="shared" si="17"/>
        <v>110.5</v>
      </c>
      <c r="R71" s="4">
        <v>50</v>
      </c>
      <c r="S71" s="17">
        <v>276.5</v>
      </c>
      <c r="T71">
        <f t="shared" si="18"/>
        <v>56.062449310624487</v>
      </c>
    </row>
    <row r="72" spans="1:20" x14ac:dyDescent="0.25">
      <c r="A72" s="4" t="s">
        <v>424</v>
      </c>
      <c r="B72" s="4" t="s">
        <v>195</v>
      </c>
      <c r="C72" s="4" t="s">
        <v>196</v>
      </c>
      <c r="D72" s="22" t="s">
        <v>56</v>
      </c>
      <c r="E72" s="4" t="s">
        <v>57</v>
      </c>
      <c r="F72" s="4">
        <v>90</v>
      </c>
      <c r="G72" s="4">
        <v>11.5</v>
      </c>
      <c r="H72" s="4">
        <v>1035</v>
      </c>
      <c r="I72" s="23">
        <v>44124</v>
      </c>
      <c r="J72" s="4">
        <v>25.5</v>
      </c>
      <c r="K72" s="4">
        <v>2295</v>
      </c>
      <c r="L72" s="24">
        <f t="shared" ref="L72:L77" si="20">K72/H72</f>
        <v>2.2173913043478262</v>
      </c>
      <c r="M72" s="12">
        <f t="shared" si="15"/>
        <v>2295</v>
      </c>
      <c r="N72" s="4">
        <f t="shared" si="11"/>
        <v>89</v>
      </c>
      <c r="O72" s="4">
        <f t="shared" si="12"/>
        <v>41</v>
      </c>
      <c r="P72" s="4">
        <v>130</v>
      </c>
      <c r="Q72" s="4">
        <f t="shared" si="17"/>
        <v>110.5</v>
      </c>
      <c r="R72" s="4">
        <v>50</v>
      </c>
      <c r="S72" s="17">
        <v>1125</v>
      </c>
      <c r="T72">
        <f t="shared" si="18"/>
        <v>49.019607843137251</v>
      </c>
    </row>
    <row r="73" spans="1:20" x14ac:dyDescent="0.25">
      <c r="A73" s="4" t="s">
        <v>425</v>
      </c>
      <c r="B73" s="4" t="s">
        <v>197</v>
      </c>
      <c r="C73" s="4" t="s">
        <v>198</v>
      </c>
      <c r="D73" s="22" t="s">
        <v>56</v>
      </c>
      <c r="E73" s="4" t="s">
        <v>62</v>
      </c>
      <c r="F73" s="4">
        <v>90</v>
      </c>
      <c r="G73" s="4">
        <v>8.69</v>
      </c>
      <c r="H73" s="4">
        <v>782.09999999999991</v>
      </c>
      <c r="I73" s="23">
        <v>44124</v>
      </c>
      <c r="J73" s="4">
        <v>11.65</v>
      </c>
      <c r="K73" s="4">
        <v>1048.5</v>
      </c>
      <c r="L73" s="24">
        <f t="shared" si="20"/>
        <v>1.3406214039125433</v>
      </c>
      <c r="M73" s="12">
        <f t="shared" si="15"/>
        <v>1048.5</v>
      </c>
      <c r="N73" s="4">
        <f t="shared" si="11"/>
        <v>89</v>
      </c>
      <c r="O73" s="4">
        <f t="shared" si="12"/>
        <v>41</v>
      </c>
      <c r="P73" s="4">
        <v>130</v>
      </c>
      <c r="Q73" s="4">
        <f t="shared" si="17"/>
        <v>110.5</v>
      </c>
      <c r="R73" s="4">
        <v>50</v>
      </c>
      <c r="S73" s="17">
        <v>460.50000000000006</v>
      </c>
      <c r="T73">
        <f t="shared" si="18"/>
        <v>43.919885550786844</v>
      </c>
    </row>
    <row r="74" spans="1:20" x14ac:dyDescent="0.25">
      <c r="A74" s="4" t="s">
        <v>426</v>
      </c>
      <c r="B74" s="4" t="s">
        <v>199</v>
      </c>
      <c r="C74" s="4" t="s">
        <v>200</v>
      </c>
      <c r="D74" s="22" t="s">
        <v>56</v>
      </c>
      <c r="E74" s="4" t="s">
        <v>57</v>
      </c>
      <c r="F74" s="4">
        <v>90</v>
      </c>
      <c r="G74" s="4">
        <v>46.5</v>
      </c>
      <c r="H74" s="4">
        <v>4185</v>
      </c>
      <c r="I74" s="23">
        <v>44124</v>
      </c>
      <c r="J74" s="4">
        <v>54.6</v>
      </c>
      <c r="K74" s="4">
        <v>4914</v>
      </c>
      <c r="L74" s="24">
        <f t="shared" si="20"/>
        <v>1.1741935483870967</v>
      </c>
      <c r="M74" s="12">
        <f t="shared" si="15"/>
        <v>4914</v>
      </c>
      <c r="N74" s="4">
        <f t="shared" si="11"/>
        <v>89</v>
      </c>
      <c r="O74" s="4">
        <f t="shared" si="12"/>
        <v>41</v>
      </c>
      <c r="P74" s="4">
        <v>130</v>
      </c>
      <c r="Q74" s="4">
        <f t="shared" si="17"/>
        <v>110.5</v>
      </c>
      <c r="R74" s="4">
        <v>50</v>
      </c>
      <c r="S74" s="17">
        <v>2370</v>
      </c>
      <c r="T74">
        <f t="shared" si="18"/>
        <v>48.229548229548229</v>
      </c>
    </row>
    <row r="75" spans="1:20" x14ac:dyDescent="0.25">
      <c r="A75" s="4" t="s">
        <v>427</v>
      </c>
      <c r="B75" s="4" t="s">
        <v>201</v>
      </c>
      <c r="C75" s="4" t="s">
        <v>202</v>
      </c>
      <c r="D75" s="22" t="s">
        <v>56</v>
      </c>
      <c r="E75" s="4" t="s">
        <v>62</v>
      </c>
      <c r="F75" s="4">
        <v>90</v>
      </c>
      <c r="G75" s="4">
        <v>7.14</v>
      </c>
      <c r="H75" s="4">
        <v>642.6</v>
      </c>
      <c r="I75" s="23">
        <v>44124</v>
      </c>
      <c r="J75" s="4">
        <v>7.38</v>
      </c>
      <c r="K75" s="4">
        <v>664.2</v>
      </c>
      <c r="L75" s="24">
        <f t="shared" si="20"/>
        <v>1.0336134453781514</v>
      </c>
      <c r="M75" s="12">
        <f t="shared" si="15"/>
        <v>664.2</v>
      </c>
      <c r="N75" s="4">
        <f t="shared" si="11"/>
        <v>89</v>
      </c>
      <c r="O75" s="4">
        <f t="shared" si="12"/>
        <v>41</v>
      </c>
      <c r="P75" s="4">
        <v>130</v>
      </c>
      <c r="Q75" s="4">
        <f t="shared" si="17"/>
        <v>110.5</v>
      </c>
      <c r="R75" s="4">
        <v>50</v>
      </c>
      <c r="S75" s="17">
        <v>284</v>
      </c>
      <c r="T75">
        <f t="shared" si="18"/>
        <v>42.758205359831372</v>
      </c>
    </row>
    <row r="76" spans="1:20" x14ac:dyDescent="0.25">
      <c r="A76" s="4" t="s">
        <v>428</v>
      </c>
      <c r="B76" s="4" t="s">
        <v>203</v>
      </c>
      <c r="C76" s="4" t="s">
        <v>204</v>
      </c>
      <c r="D76" s="22" t="s">
        <v>56</v>
      </c>
      <c r="E76" s="4" t="s">
        <v>57</v>
      </c>
      <c r="F76" s="4">
        <v>90</v>
      </c>
      <c r="G76" s="4">
        <v>10.8</v>
      </c>
      <c r="H76" s="4">
        <v>972.00000000000011</v>
      </c>
      <c r="I76" s="23">
        <v>44124</v>
      </c>
      <c r="J76" s="4">
        <v>41.7</v>
      </c>
      <c r="K76" s="4">
        <v>3753.0000000000005</v>
      </c>
      <c r="L76" s="24">
        <f t="shared" si="20"/>
        <v>3.8611111111111112</v>
      </c>
      <c r="M76" s="12">
        <f t="shared" si="15"/>
        <v>3753.0000000000005</v>
      </c>
      <c r="N76" s="4">
        <f t="shared" si="11"/>
        <v>89</v>
      </c>
      <c r="O76" s="4">
        <f t="shared" si="12"/>
        <v>41</v>
      </c>
      <c r="P76" s="4">
        <v>130</v>
      </c>
      <c r="Q76" s="4">
        <f t="shared" si="17"/>
        <v>110.5</v>
      </c>
      <c r="R76" s="4">
        <v>50</v>
      </c>
      <c r="S76" s="17">
        <v>1714.9999999999998</v>
      </c>
      <c r="T76">
        <f t="shared" si="18"/>
        <v>45.696775912603236</v>
      </c>
    </row>
    <row r="77" spans="1:20" x14ac:dyDescent="0.25">
      <c r="A77" s="4" t="s">
        <v>429</v>
      </c>
      <c r="B77" s="4" t="s">
        <v>205</v>
      </c>
      <c r="C77" s="4" t="s">
        <v>206</v>
      </c>
      <c r="D77" s="22" t="s">
        <v>56</v>
      </c>
      <c r="E77" s="4" t="s">
        <v>62</v>
      </c>
      <c r="F77" s="4">
        <v>90</v>
      </c>
      <c r="G77" s="4">
        <v>8.91</v>
      </c>
      <c r="H77" s="4">
        <v>801.9</v>
      </c>
      <c r="I77" s="23">
        <v>44113</v>
      </c>
      <c r="J77" s="4">
        <v>10.3</v>
      </c>
      <c r="K77" s="4">
        <v>927.00000000000011</v>
      </c>
      <c r="L77" s="24">
        <f t="shared" si="20"/>
        <v>1.1560044893378227</v>
      </c>
      <c r="M77" s="12">
        <f t="shared" si="15"/>
        <v>927.00000000000011</v>
      </c>
      <c r="N77" s="4">
        <f t="shared" si="11"/>
        <v>89</v>
      </c>
      <c r="O77" s="4">
        <f t="shared" si="12"/>
        <v>41</v>
      </c>
      <c r="P77" s="4">
        <v>130</v>
      </c>
      <c r="Q77" s="4">
        <f t="shared" si="17"/>
        <v>110.5</v>
      </c>
      <c r="R77" s="4">
        <v>50</v>
      </c>
      <c r="S77" s="17">
        <v>505</v>
      </c>
      <c r="T77">
        <f t="shared" si="18"/>
        <v>54.47680690399136</v>
      </c>
    </row>
    <row r="78" spans="1:20" x14ac:dyDescent="0.25">
      <c r="A78" s="4" t="s">
        <v>430</v>
      </c>
      <c r="B78" s="4" t="s">
        <v>207</v>
      </c>
      <c r="C78" s="4" t="s">
        <v>208</v>
      </c>
      <c r="D78" s="22" t="s">
        <v>56</v>
      </c>
      <c r="E78" s="4" t="s">
        <v>57</v>
      </c>
      <c r="F78" s="4">
        <v>90</v>
      </c>
      <c r="G78" s="4">
        <v>5.1100000000000003</v>
      </c>
      <c r="H78" s="4">
        <v>459.90000000000003</v>
      </c>
      <c r="I78" s="4"/>
      <c r="J78" s="4"/>
      <c r="K78" s="4">
        <f t="shared" ref="K78" si="21">H78</f>
        <v>459.90000000000003</v>
      </c>
      <c r="L78" s="24"/>
      <c r="M78" s="12">
        <f t="shared" si="15"/>
        <v>459.90000000000003</v>
      </c>
      <c r="N78" s="4">
        <f t="shared" si="11"/>
        <v>89</v>
      </c>
      <c r="O78" s="4">
        <f t="shared" si="12"/>
        <v>41</v>
      </c>
      <c r="P78" s="4">
        <v>130</v>
      </c>
      <c r="Q78" s="4">
        <f t="shared" si="17"/>
        <v>110.5</v>
      </c>
      <c r="R78" s="4">
        <v>50</v>
      </c>
      <c r="S78" s="17">
        <v>339.5</v>
      </c>
      <c r="T78">
        <f t="shared" si="18"/>
        <v>73.820395738203942</v>
      </c>
    </row>
    <row r="79" spans="1:20" x14ac:dyDescent="0.25">
      <c r="A79" s="4" t="s">
        <v>431</v>
      </c>
      <c r="B79" s="4" t="s">
        <v>209</v>
      </c>
      <c r="C79" s="4" t="s">
        <v>210</v>
      </c>
      <c r="D79" s="22" t="s">
        <v>56</v>
      </c>
      <c r="E79" s="4" t="s">
        <v>62</v>
      </c>
      <c r="F79" s="4">
        <v>90</v>
      </c>
      <c r="G79" s="4">
        <v>7.74</v>
      </c>
      <c r="H79" s="4">
        <v>696.6</v>
      </c>
      <c r="I79" s="23">
        <v>44124</v>
      </c>
      <c r="J79" s="4">
        <v>9.43</v>
      </c>
      <c r="K79" s="4">
        <v>848.69999999999993</v>
      </c>
      <c r="L79" s="24">
        <f t="shared" ref="L79:L84" si="22">K79/H79</f>
        <v>1.218346253229974</v>
      </c>
      <c r="M79" s="12">
        <f t="shared" si="15"/>
        <v>848.69999999999993</v>
      </c>
      <c r="N79" s="4">
        <f t="shared" si="11"/>
        <v>89</v>
      </c>
      <c r="O79" s="4">
        <f t="shared" si="12"/>
        <v>41</v>
      </c>
      <c r="P79" s="4">
        <v>130</v>
      </c>
      <c r="Q79" s="4">
        <f t="shared" si="17"/>
        <v>110.5</v>
      </c>
      <c r="R79" s="4">
        <v>50</v>
      </c>
      <c r="S79" s="17">
        <v>303.5</v>
      </c>
      <c r="T79">
        <f t="shared" si="18"/>
        <v>35.76057499705432</v>
      </c>
    </row>
    <row r="80" spans="1:20" x14ac:dyDescent="0.25">
      <c r="A80" s="4" t="s">
        <v>432</v>
      </c>
      <c r="B80" s="4" t="s">
        <v>211</v>
      </c>
      <c r="C80" s="4" t="s">
        <v>212</v>
      </c>
      <c r="D80" s="22" t="s">
        <v>56</v>
      </c>
      <c r="E80" s="4" t="s">
        <v>57</v>
      </c>
      <c r="F80" s="4">
        <v>90</v>
      </c>
      <c r="G80" s="4">
        <v>37.700000000000003</v>
      </c>
      <c r="H80" s="4">
        <v>3393.0000000000005</v>
      </c>
      <c r="I80" s="23">
        <v>44124</v>
      </c>
      <c r="J80" s="4">
        <v>46.1</v>
      </c>
      <c r="K80" s="4">
        <v>4149</v>
      </c>
      <c r="L80" s="24">
        <f t="shared" si="22"/>
        <v>1.222811671087533</v>
      </c>
      <c r="M80" s="12">
        <f t="shared" si="15"/>
        <v>4149</v>
      </c>
      <c r="N80" s="4">
        <f t="shared" si="11"/>
        <v>89</v>
      </c>
      <c r="O80" s="4">
        <f t="shared" si="12"/>
        <v>41</v>
      </c>
      <c r="P80" s="4">
        <v>130</v>
      </c>
      <c r="Q80" s="4">
        <f t="shared" si="17"/>
        <v>110.5</v>
      </c>
      <c r="R80" s="4">
        <v>50</v>
      </c>
      <c r="S80" s="17">
        <v>1960.0000000000002</v>
      </c>
      <c r="T80">
        <f t="shared" si="18"/>
        <v>47.24029886719692</v>
      </c>
    </row>
    <row r="81" spans="1:20" x14ac:dyDescent="0.25">
      <c r="A81" s="4" t="s">
        <v>433</v>
      </c>
      <c r="B81" s="4" t="s">
        <v>213</v>
      </c>
      <c r="C81" s="4" t="s">
        <v>214</v>
      </c>
      <c r="D81" s="22" t="s">
        <v>56</v>
      </c>
      <c r="E81" s="4" t="s">
        <v>62</v>
      </c>
      <c r="F81" s="4">
        <v>90</v>
      </c>
      <c r="G81" s="4">
        <v>7.09</v>
      </c>
      <c r="H81" s="4">
        <v>638.1</v>
      </c>
      <c r="I81" s="23">
        <v>44124</v>
      </c>
      <c r="J81" s="4">
        <v>9</v>
      </c>
      <c r="K81" s="4">
        <v>810</v>
      </c>
      <c r="L81" s="24">
        <f t="shared" si="22"/>
        <v>1.2693935119887165</v>
      </c>
      <c r="M81" s="12">
        <f t="shared" si="15"/>
        <v>810</v>
      </c>
      <c r="N81" s="4">
        <f t="shared" si="11"/>
        <v>89</v>
      </c>
      <c r="O81" s="4">
        <f t="shared" si="12"/>
        <v>41</v>
      </c>
      <c r="P81" s="4">
        <v>130</v>
      </c>
      <c r="Q81" s="4">
        <f t="shared" si="17"/>
        <v>110.5</v>
      </c>
      <c r="R81" s="4">
        <v>50</v>
      </c>
      <c r="S81" s="17">
        <v>316.5</v>
      </c>
      <c r="T81">
        <f t="shared" si="18"/>
        <v>39.074074074074069</v>
      </c>
    </row>
    <row r="82" spans="1:20" x14ac:dyDescent="0.25">
      <c r="A82" s="4" t="s">
        <v>434</v>
      </c>
      <c r="B82" s="4" t="s">
        <v>215</v>
      </c>
      <c r="C82" s="4" t="s">
        <v>216</v>
      </c>
      <c r="D82" s="22" t="s">
        <v>56</v>
      </c>
      <c r="E82" s="4" t="s">
        <v>57</v>
      </c>
      <c r="F82" s="4">
        <v>90</v>
      </c>
      <c r="G82" s="4">
        <v>11.3</v>
      </c>
      <c r="H82" s="4">
        <v>1017.0000000000001</v>
      </c>
      <c r="I82" s="23">
        <v>44124</v>
      </c>
      <c r="J82" s="4">
        <v>37</v>
      </c>
      <c r="K82" s="4">
        <v>3330</v>
      </c>
      <c r="L82" s="24">
        <f t="shared" si="22"/>
        <v>3.2743362831858405</v>
      </c>
      <c r="M82" s="12">
        <f t="shared" si="15"/>
        <v>3330</v>
      </c>
      <c r="N82" s="4">
        <f t="shared" si="11"/>
        <v>89</v>
      </c>
      <c r="O82" s="4">
        <f t="shared" si="12"/>
        <v>41</v>
      </c>
      <c r="P82" s="4">
        <v>130</v>
      </c>
      <c r="Q82" s="4">
        <f t="shared" si="17"/>
        <v>110.5</v>
      </c>
      <c r="R82" s="4">
        <v>50</v>
      </c>
      <c r="S82" s="17">
        <v>1575</v>
      </c>
      <c r="T82">
        <f t="shared" si="18"/>
        <v>47.297297297297298</v>
      </c>
    </row>
    <row r="83" spans="1:20" x14ac:dyDescent="0.25">
      <c r="A83" s="4" t="s">
        <v>435</v>
      </c>
      <c r="B83" s="4" t="s">
        <v>217</v>
      </c>
      <c r="C83" s="4" t="s">
        <v>218</v>
      </c>
      <c r="D83" s="22" t="s">
        <v>56</v>
      </c>
      <c r="E83" s="4" t="s">
        <v>62</v>
      </c>
      <c r="F83" s="4">
        <v>90</v>
      </c>
      <c r="G83" s="4">
        <v>7.14</v>
      </c>
      <c r="H83" s="4">
        <v>642.6</v>
      </c>
      <c r="I83" s="23">
        <v>44124</v>
      </c>
      <c r="J83" s="4">
        <v>8.4499999999999993</v>
      </c>
      <c r="K83" s="4">
        <v>760.49999999999989</v>
      </c>
      <c r="L83" s="24">
        <f t="shared" si="22"/>
        <v>1.1834733893557421</v>
      </c>
      <c r="M83" s="12">
        <f t="shared" si="15"/>
        <v>760.49999999999989</v>
      </c>
      <c r="N83" s="4">
        <f t="shared" si="11"/>
        <v>89</v>
      </c>
      <c r="O83" s="4">
        <f t="shared" si="12"/>
        <v>41</v>
      </c>
      <c r="P83" s="4">
        <v>130</v>
      </c>
      <c r="Q83" s="4">
        <f t="shared" si="17"/>
        <v>110.5</v>
      </c>
      <c r="R83" s="4">
        <v>50</v>
      </c>
      <c r="S83" s="17">
        <v>286.5</v>
      </c>
      <c r="T83">
        <f t="shared" si="18"/>
        <v>37.672583826429985</v>
      </c>
    </row>
    <row r="84" spans="1:20" x14ac:dyDescent="0.25">
      <c r="A84" s="4" t="s">
        <v>436</v>
      </c>
      <c r="B84" s="4" t="s">
        <v>219</v>
      </c>
      <c r="C84" s="4" t="s">
        <v>220</v>
      </c>
      <c r="D84" s="22" t="s">
        <v>56</v>
      </c>
      <c r="E84" s="4" t="s">
        <v>57</v>
      </c>
      <c r="F84" s="4">
        <v>90</v>
      </c>
      <c r="G84" s="4">
        <v>7.1</v>
      </c>
      <c r="H84" s="4">
        <v>639</v>
      </c>
      <c r="I84" s="23">
        <v>44124</v>
      </c>
      <c r="J84" s="4">
        <v>8.8699999999999992</v>
      </c>
      <c r="K84" s="4">
        <v>798.3</v>
      </c>
      <c r="L84" s="24">
        <f t="shared" si="22"/>
        <v>1.2492957746478872</v>
      </c>
      <c r="M84" s="12">
        <f t="shared" si="15"/>
        <v>798.3</v>
      </c>
      <c r="N84" s="4">
        <f t="shared" si="11"/>
        <v>89</v>
      </c>
      <c r="O84" s="4">
        <f t="shared" si="12"/>
        <v>41</v>
      </c>
      <c r="P84" s="4">
        <v>130</v>
      </c>
      <c r="Q84" s="4">
        <f t="shared" si="17"/>
        <v>110.5</v>
      </c>
      <c r="R84" s="4">
        <v>50</v>
      </c>
      <c r="S84" s="17">
        <v>348.50000000000006</v>
      </c>
      <c r="T84">
        <f t="shared" si="18"/>
        <v>43.655267443317058</v>
      </c>
    </row>
    <row r="85" spans="1:20" x14ac:dyDescent="0.25">
      <c r="A85" s="4" t="s">
        <v>437</v>
      </c>
      <c r="B85" s="4" t="s">
        <v>221</v>
      </c>
      <c r="C85" s="4" t="s">
        <v>222</v>
      </c>
      <c r="D85" s="22" t="s">
        <v>56</v>
      </c>
      <c r="E85" s="4" t="s">
        <v>62</v>
      </c>
      <c r="F85" s="4">
        <v>90</v>
      </c>
      <c r="G85" s="4">
        <v>5.57</v>
      </c>
      <c r="H85" s="4">
        <v>501.3</v>
      </c>
      <c r="I85" s="4"/>
      <c r="J85" s="4"/>
      <c r="K85" s="4">
        <f t="shared" ref="K85" si="23">H85</f>
        <v>501.3</v>
      </c>
      <c r="L85" s="24"/>
      <c r="M85" s="12">
        <f t="shared" si="15"/>
        <v>501.3</v>
      </c>
      <c r="N85" s="4">
        <f t="shared" si="11"/>
        <v>89</v>
      </c>
      <c r="O85" s="4">
        <f t="shared" si="12"/>
        <v>41</v>
      </c>
      <c r="P85" s="4">
        <v>130</v>
      </c>
      <c r="Q85" s="4">
        <f t="shared" si="17"/>
        <v>110.5</v>
      </c>
      <c r="R85" s="4">
        <v>50</v>
      </c>
      <c r="S85" s="17">
        <v>240.49999999999997</v>
      </c>
      <c r="T85">
        <f t="shared" si="18"/>
        <v>47.975264312786749</v>
      </c>
    </row>
    <row r="86" spans="1:20" x14ac:dyDescent="0.25">
      <c r="A86" s="4" t="s">
        <v>438</v>
      </c>
      <c r="B86" s="4" t="s">
        <v>223</v>
      </c>
      <c r="C86" s="4" t="s">
        <v>224</v>
      </c>
      <c r="D86" s="22" t="s">
        <v>56</v>
      </c>
      <c r="E86" s="4" t="s">
        <v>57</v>
      </c>
      <c r="F86" s="4">
        <v>90</v>
      </c>
      <c r="G86" s="4">
        <v>10.199999999999999</v>
      </c>
      <c r="H86" s="4">
        <v>917.99999999999989</v>
      </c>
      <c r="I86" s="23">
        <v>44124</v>
      </c>
      <c r="J86" s="4">
        <v>30.3</v>
      </c>
      <c r="K86" s="4">
        <v>2727</v>
      </c>
      <c r="L86" s="24">
        <f>K86/H86</f>
        <v>2.9705882352941182</v>
      </c>
      <c r="M86" s="12">
        <f t="shared" si="15"/>
        <v>2727</v>
      </c>
      <c r="N86" s="4">
        <f t="shared" si="11"/>
        <v>89</v>
      </c>
      <c r="O86" s="4">
        <f t="shared" si="12"/>
        <v>41</v>
      </c>
      <c r="P86" s="4">
        <v>130</v>
      </c>
      <c r="Q86" s="4">
        <f t="shared" si="17"/>
        <v>110.5</v>
      </c>
      <c r="R86" s="4">
        <v>50</v>
      </c>
      <c r="S86" s="17">
        <v>1276</v>
      </c>
      <c r="T86">
        <f t="shared" si="18"/>
        <v>46.791345801246791</v>
      </c>
    </row>
    <row r="87" spans="1:20" x14ac:dyDescent="0.25">
      <c r="A87" s="4" t="s">
        <v>439</v>
      </c>
      <c r="B87" s="4" t="s">
        <v>225</v>
      </c>
      <c r="C87" s="4" t="s">
        <v>226</v>
      </c>
      <c r="D87" s="22" t="s">
        <v>56</v>
      </c>
      <c r="E87" s="4" t="s">
        <v>62</v>
      </c>
      <c r="F87" s="4">
        <v>90</v>
      </c>
      <c r="G87" s="4">
        <v>9.07</v>
      </c>
      <c r="H87" s="4">
        <v>816.30000000000007</v>
      </c>
      <c r="I87" s="23">
        <v>44113</v>
      </c>
      <c r="J87" s="4">
        <v>11.75</v>
      </c>
      <c r="K87" s="4">
        <v>1057.5</v>
      </c>
      <c r="L87" s="24">
        <f>K87/H87</f>
        <v>1.2954796030871003</v>
      </c>
      <c r="M87" s="12">
        <f t="shared" si="15"/>
        <v>1057.5</v>
      </c>
      <c r="N87" s="4">
        <f t="shared" si="11"/>
        <v>89</v>
      </c>
      <c r="O87" s="4">
        <f t="shared" si="12"/>
        <v>41</v>
      </c>
      <c r="P87" s="4">
        <v>130</v>
      </c>
      <c r="Q87" s="4">
        <f t="shared" si="17"/>
        <v>110.5</v>
      </c>
      <c r="R87" s="4">
        <v>50</v>
      </c>
      <c r="S87" s="17">
        <v>540</v>
      </c>
      <c r="T87">
        <f t="shared" si="18"/>
        <v>51.063829787234042</v>
      </c>
    </row>
    <row r="88" spans="1:20" x14ac:dyDescent="0.25">
      <c r="A88" s="4" t="s">
        <v>440</v>
      </c>
      <c r="B88" s="4" t="s">
        <v>227</v>
      </c>
      <c r="C88" s="4" t="s">
        <v>228</v>
      </c>
      <c r="D88" s="22" t="s">
        <v>56</v>
      </c>
      <c r="E88" s="4" t="s">
        <v>57</v>
      </c>
      <c r="F88" s="4">
        <v>90</v>
      </c>
      <c r="G88" s="4">
        <v>10.7</v>
      </c>
      <c r="H88" s="4">
        <v>962.99999999999989</v>
      </c>
      <c r="I88" s="23">
        <v>44124</v>
      </c>
      <c r="J88" s="4">
        <v>67.099999999999994</v>
      </c>
      <c r="K88" s="4">
        <v>6038.9999999999991</v>
      </c>
      <c r="L88" s="24">
        <f>K88/H88</f>
        <v>6.2710280373831777</v>
      </c>
      <c r="M88" s="12">
        <f t="shared" si="15"/>
        <v>6038.9999999999991</v>
      </c>
      <c r="N88" s="4">
        <f t="shared" si="11"/>
        <v>89</v>
      </c>
      <c r="O88" s="4">
        <f t="shared" si="12"/>
        <v>41</v>
      </c>
      <c r="P88" s="4">
        <v>130</v>
      </c>
      <c r="Q88" s="4">
        <f t="shared" si="17"/>
        <v>110.5</v>
      </c>
      <c r="R88" s="4">
        <v>50</v>
      </c>
      <c r="S88" s="17">
        <v>2565</v>
      </c>
      <c r="T88">
        <f t="shared" si="18"/>
        <v>42.473919523099859</v>
      </c>
    </row>
    <row r="89" spans="1:20" x14ac:dyDescent="0.25">
      <c r="A89" s="4" t="s">
        <v>441</v>
      </c>
      <c r="B89" s="4" t="s">
        <v>229</v>
      </c>
      <c r="C89" s="4" t="s">
        <v>230</v>
      </c>
      <c r="D89" s="22" t="s">
        <v>56</v>
      </c>
      <c r="E89" s="4" t="s">
        <v>62</v>
      </c>
      <c r="F89" s="4">
        <v>90</v>
      </c>
      <c r="G89" s="4">
        <v>7.89</v>
      </c>
      <c r="H89" s="4">
        <v>710.1</v>
      </c>
      <c r="I89" s="23">
        <v>44113</v>
      </c>
      <c r="J89" s="4">
        <v>9.19</v>
      </c>
      <c r="K89" s="4">
        <v>827.09999999999991</v>
      </c>
      <c r="L89" s="24">
        <f>K89/H89</f>
        <v>1.1647655259822558</v>
      </c>
      <c r="M89" s="12">
        <f t="shared" si="15"/>
        <v>827.09999999999991</v>
      </c>
      <c r="N89" s="4">
        <f t="shared" si="11"/>
        <v>89</v>
      </c>
      <c r="O89" s="4">
        <f t="shared" si="12"/>
        <v>41</v>
      </c>
      <c r="P89" s="4">
        <v>130</v>
      </c>
      <c r="Q89" s="4">
        <f t="shared" si="17"/>
        <v>110.5</v>
      </c>
      <c r="R89" s="4">
        <v>50</v>
      </c>
      <c r="S89" s="17">
        <v>331.5</v>
      </c>
      <c r="T89">
        <f t="shared" si="18"/>
        <v>40.079796880667395</v>
      </c>
    </row>
    <row r="90" spans="1:20" x14ac:dyDescent="0.25">
      <c r="A90" s="4" t="s">
        <v>442</v>
      </c>
      <c r="B90" s="4" t="s">
        <v>231</v>
      </c>
      <c r="C90" s="4" t="s">
        <v>232</v>
      </c>
      <c r="D90" s="22" t="s">
        <v>56</v>
      </c>
      <c r="E90" s="4" t="s">
        <v>57</v>
      </c>
      <c r="F90" s="4">
        <v>90</v>
      </c>
      <c r="G90" s="4">
        <v>51.8</v>
      </c>
      <c r="H90" s="4">
        <v>4662</v>
      </c>
      <c r="I90" s="23">
        <v>44124</v>
      </c>
      <c r="J90" s="4">
        <v>55.35</v>
      </c>
      <c r="K90" s="4">
        <v>4981.5</v>
      </c>
      <c r="L90" s="24">
        <f>K90/H90</f>
        <v>1.0685328185328185</v>
      </c>
      <c r="M90" s="12">
        <f t="shared" si="15"/>
        <v>4981.5</v>
      </c>
      <c r="N90" s="4">
        <f t="shared" si="11"/>
        <v>89</v>
      </c>
      <c r="O90" s="4">
        <f t="shared" si="12"/>
        <v>41</v>
      </c>
      <c r="P90" s="4">
        <v>130</v>
      </c>
      <c r="Q90" s="4">
        <f t="shared" si="17"/>
        <v>110.5</v>
      </c>
      <c r="R90" s="4">
        <v>50</v>
      </c>
      <c r="S90" s="17">
        <v>9250</v>
      </c>
      <c r="T90">
        <f t="shared" si="18"/>
        <v>185.68704205560573</v>
      </c>
    </row>
    <row r="91" spans="1:20" x14ac:dyDescent="0.25">
      <c r="A91" s="4" t="s">
        <v>443</v>
      </c>
      <c r="B91" s="4" t="s">
        <v>233</v>
      </c>
      <c r="C91" s="4" t="s">
        <v>234</v>
      </c>
      <c r="D91" s="22" t="s">
        <v>56</v>
      </c>
      <c r="E91" s="4" t="s">
        <v>62</v>
      </c>
      <c r="F91" s="4">
        <v>90</v>
      </c>
      <c r="G91" s="4">
        <v>5.22</v>
      </c>
      <c r="H91" s="4">
        <v>469.79999999999995</v>
      </c>
      <c r="I91" s="4"/>
      <c r="J91" s="4"/>
      <c r="K91" s="4">
        <f t="shared" ref="K91" si="24">H91</f>
        <v>469.79999999999995</v>
      </c>
      <c r="L91" s="24"/>
      <c r="M91" s="12">
        <f t="shared" si="15"/>
        <v>469.79999999999995</v>
      </c>
      <c r="N91" s="4">
        <f t="shared" si="11"/>
        <v>89</v>
      </c>
      <c r="O91" s="4">
        <f t="shared" si="12"/>
        <v>41</v>
      </c>
      <c r="P91" s="4">
        <v>130</v>
      </c>
      <c r="Q91" s="4">
        <f t="shared" si="17"/>
        <v>110.5</v>
      </c>
      <c r="R91" s="4">
        <v>50</v>
      </c>
      <c r="S91" s="17">
        <v>209.50000000000003</v>
      </c>
      <c r="T91">
        <f t="shared" si="18"/>
        <v>44.59344401873139</v>
      </c>
    </row>
    <row r="92" spans="1:20" x14ac:dyDescent="0.25">
      <c r="A92" s="4" t="s">
        <v>444</v>
      </c>
      <c r="B92" s="4" t="s">
        <v>235</v>
      </c>
      <c r="C92" s="4" t="s">
        <v>236</v>
      </c>
      <c r="D92" s="22" t="s">
        <v>56</v>
      </c>
      <c r="E92" s="4" t="s">
        <v>62</v>
      </c>
      <c r="F92" s="4">
        <v>90</v>
      </c>
      <c r="G92" s="4">
        <v>7.33</v>
      </c>
      <c r="H92" s="4">
        <v>659.7</v>
      </c>
      <c r="I92" s="23">
        <v>44124</v>
      </c>
      <c r="J92" s="4">
        <v>10.9</v>
      </c>
      <c r="K92" s="4">
        <v>981</v>
      </c>
      <c r="L92" s="24">
        <f>K92/H92</f>
        <v>1.4870395634379263</v>
      </c>
      <c r="M92" s="12">
        <f t="shared" si="15"/>
        <v>981</v>
      </c>
      <c r="N92" s="4">
        <f t="shared" si="11"/>
        <v>89</v>
      </c>
      <c r="O92" s="4">
        <f t="shared" si="12"/>
        <v>41</v>
      </c>
      <c r="P92" s="4">
        <v>130</v>
      </c>
      <c r="Q92" s="4">
        <f t="shared" si="17"/>
        <v>110.5</v>
      </c>
      <c r="R92" s="4">
        <v>50</v>
      </c>
      <c r="S92" s="17">
        <v>391</v>
      </c>
      <c r="T92">
        <f t="shared" si="18"/>
        <v>39.857288481141687</v>
      </c>
    </row>
    <row r="93" spans="1:20" x14ac:dyDescent="0.25">
      <c r="A93" s="4" t="s">
        <v>445</v>
      </c>
      <c r="B93" s="4" t="s">
        <v>237</v>
      </c>
      <c r="C93" s="4" t="s">
        <v>238</v>
      </c>
      <c r="D93" s="22" t="s">
        <v>56</v>
      </c>
      <c r="E93" s="4" t="s">
        <v>62</v>
      </c>
      <c r="F93" s="4">
        <v>90</v>
      </c>
      <c r="G93" s="4">
        <v>7.59</v>
      </c>
      <c r="H93" s="4">
        <v>683.1</v>
      </c>
      <c r="I93" s="23">
        <v>44124</v>
      </c>
      <c r="J93" s="4">
        <v>8.94</v>
      </c>
      <c r="K93" s="4">
        <v>804.59999999999991</v>
      </c>
      <c r="L93" s="24">
        <f>K93/H93</f>
        <v>1.1778656126482212</v>
      </c>
      <c r="M93" s="12">
        <f t="shared" si="15"/>
        <v>804.59999999999991</v>
      </c>
      <c r="N93" s="4">
        <f t="shared" si="11"/>
        <v>89</v>
      </c>
      <c r="O93" s="4">
        <f t="shared" si="12"/>
        <v>41</v>
      </c>
      <c r="P93" s="4">
        <v>130</v>
      </c>
      <c r="Q93" s="4">
        <f t="shared" si="17"/>
        <v>110.5</v>
      </c>
      <c r="R93" s="4">
        <v>50</v>
      </c>
      <c r="S93" s="17">
        <v>437.5</v>
      </c>
      <c r="T93">
        <f t="shared" si="18"/>
        <v>54.374844643301024</v>
      </c>
    </row>
    <row r="94" spans="1:20" x14ac:dyDescent="0.25">
      <c r="A94" s="4" t="s">
        <v>446</v>
      </c>
      <c r="B94" s="4" t="s">
        <v>239</v>
      </c>
      <c r="C94" s="4" t="s">
        <v>240</v>
      </c>
      <c r="D94" s="22" t="s">
        <v>56</v>
      </c>
      <c r="E94" s="4" t="s">
        <v>57</v>
      </c>
      <c r="F94" s="4">
        <v>90</v>
      </c>
      <c r="G94" s="4">
        <v>8.65</v>
      </c>
      <c r="H94" s="4">
        <v>778.5</v>
      </c>
      <c r="I94" s="23">
        <v>44124</v>
      </c>
      <c r="J94" s="4">
        <v>15.4</v>
      </c>
      <c r="K94" s="4">
        <v>1386</v>
      </c>
      <c r="L94" s="24">
        <f>K94/H94</f>
        <v>1.7803468208092486</v>
      </c>
      <c r="M94" s="12">
        <f t="shared" si="15"/>
        <v>1386</v>
      </c>
      <c r="N94" s="4">
        <f t="shared" si="11"/>
        <v>89</v>
      </c>
      <c r="O94" s="4">
        <f t="shared" si="12"/>
        <v>41</v>
      </c>
      <c r="P94" s="4">
        <v>130</v>
      </c>
      <c r="Q94" s="4">
        <f t="shared" si="17"/>
        <v>110.5</v>
      </c>
      <c r="R94" s="4">
        <v>50</v>
      </c>
      <c r="S94" s="17">
        <v>765</v>
      </c>
      <c r="T94">
        <f t="shared" si="18"/>
        <v>55.194805194805198</v>
      </c>
    </row>
    <row r="95" spans="1:20" x14ac:dyDescent="0.25">
      <c r="A95" s="4" t="s">
        <v>447</v>
      </c>
      <c r="B95" s="4" t="s">
        <v>241</v>
      </c>
      <c r="C95" s="4" t="s">
        <v>242</v>
      </c>
      <c r="D95" s="22" t="s">
        <v>56</v>
      </c>
      <c r="E95" s="4" t="s">
        <v>62</v>
      </c>
      <c r="F95" s="4">
        <v>90</v>
      </c>
      <c r="G95" s="4">
        <v>9.35</v>
      </c>
      <c r="H95" s="4">
        <v>841.5</v>
      </c>
      <c r="I95" s="23">
        <v>44124</v>
      </c>
      <c r="J95" s="4">
        <v>24.6</v>
      </c>
      <c r="K95" s="4">
        <v>2214</v>
      </c>
      <c r="L95" s="24">
        <f>K95/H95</f>
        <v>2.6310160427807485</v>
      </c>
      <c r="M95" s="12">
        <f t="shared" si="15"/>
        <v>2214</v>
      </c>
      <c r="N95" s="4">
        <f t="shared" si="11"/>
        <v>89</v>
      </c>
      <c r="O95" s="4">
        <f t="shared" si="12"/>
        <v>41</v>
      </c>
      <c r="P95" s="4">
        <v>130</v>
      </c>
      <c r="Q95" s="4">
        <f t="shared" si="17"/>
        <v>110.5</v>
      </c>
      <c r="R95" s="4">
        <v>50</v>
      </c>
      <c r="S95" s="17">
        <v>1355</v>
      </c>
      <c r="T95">
        <f t="shared" si="18"/>
        <v>61.201445347786809</v>
      </c>
    </row>
    <row r="96" spans="1:20" x14ac:dyDescent="0.25">
      <c r="A96" s="27" t="s">
        <v>448</v>
      </c>
      <c r="B96" s="4" t="s">
        <v>243</v>
      </c>
      <c r="C96" s="4" t="s">
        <v>244</v>
      </c>
      <c r="D96" s="22" t="s">
        <v>56</v>
      </c>
      <c r="E96" s="4" t="s">
        <v>57</v>
      </c>
      <c r="F96" s="4">
        <v>90</v>
      </c>
      <c r="G96" s="4">
        <v>5.04</v>
      </c>
      <c r="H96" s="4">
        <v>453.6</v>
      </c>
      <c r="I96" s="4"/>
      <c r="J96" s="4"/>
      <c r="K96" s="4">
        <f t="shared" ref="K96:K97" si="25">H96</f>
        <v>453.6</v>
      </c>
      <c r="L96" s="24"/>
      <c r="M96" s="12">
        <f t="shared" si="15"/>
        <v>453.6</v>
      </c>
      <c r="N96" s="4">
        <f t="shared" si="11"/>
        <v>89</v>
      </c>
      <c r="O96" s="4">
        <f t="shared" si="12"/>
        <v>41</v>
      </c>
      <c r="P96" s="27">
        <v>130</v>
      </c>
      <c r="Q96" s="4">
        <f t="shared" si="17"/>
        <v>110.5</v>
      </c>
      <c r="R96" s="27">
        <v>50</v>
      </c>
      <c r="S96" s="17">
        <v>273.5</v>
      </c>
      <c r="T96">
        <f t="shared" si="18"/>
        <v>60.295414462081119</v>
      </c>
    </row>
    <row r="97" spans="1:20" x14ac:dyDescent="0.25">
      <c r="A97" s="27" t="s">
        <v>449</v>
      </c>
      <c r="B97" s="4" t="s">
        <v>245</v>
      </c>
      <c r="C97" s="4" t="s">
        <v>246</v>
      </c>
      <c r="D97" s="22" t="s">
        <v>56</v>
      </c>
      <c r="E97" s="4" t="s">
        <v>62</v>
      </c>
      <c r="F97" s="4">
        <v>90</v>
      </c>
      <c r="G97" s="4">
        <v>6.43</v>
      </c>
      <c r="H97" s="4">
        <v>578.69999999999993</v>
      </c>
      <c r="I97" s="4"/>
      <c r="J97" s="4"/>
      <c r="K97" s="4">
        <f t="shared" si="25"/>
        <v>578.69999999999993</v>
      </c>
      <c r="L97" s="24"/>
      <c r="M97" s="12">
        <f t="shared" si="15"/>
        <v>578.69999999999993</v>
      </c>
      <c r="N97" s="4">
        <f t="shared" si="11"/>
        <v>89</v>
      </c>
      <c r="O97" s="4">
        <f t="shared" si="12"/>
        <v>41</v>
      </c>
      <c r="P97" s="27">
        <v>130</v>
      </c>
      <c r="Q97" s="4">
        <f t="shared" si="17"/>
        <v>110.5</v>
      </c>
      <c r="R97" s="27">
        <v>50</v>
      </c>
      <c r="S97" s="17">
        <v>120</v>
      </c>
      <c r="T97">
        <f t="shared" si="18"/>
        <v>20.736132711249354</v>
      </c>
    </row>
    <row r="98" spans="1:20" x14ac:dyDescent="0.25">
      <c r="A98" s="4" t="s">
        <v>450</v>
      </c>
      <c r="B98" s="4" t="s">
        <v>247</v>
      </c>
      <c r="C98" s="4" t="s">
        <v>248</v>
      </c>
      <c r="D98" s="22" t="s">
        <v>56</v>
      </c>
      <c r="E98" s="4" t="s">
        <v>57</v>
      </c>
      <c r="F98" s="4">
        <v>90</v>
      </c>
      <c r="G98" s="4">
        <v>9.98</v>
      </c>
      <c r="H98" s="4">
        <v>898.2</v>
      </c>
      <c r="I98" s="23">
        <v>44124</v>
      </c>
      <c r="J98" s="4">
        <v>47</v>
      </c>
      <c r="K98" s="4">
        <v>4230</v>
      </c>
      <c r="L98" s="24">
        <f t="shared" ref="L98:L129" si="26">K98/H98</f>
        <v>4.7094188376753507</v>
      </c>
      <c r="M98" s="12">
        <f t="shared" si="15"/>
        <v>4230</v>
      </c>
      <c r="N98" s="4">
        <f t="shared" si="11"/>
        <v>89</v>
      </c>
      <c r="O98" s="4">
        <f t="shared" si="12"/>
        <v>41</v>
      </c>
      <c r="P98" s="4">
        <v>123.4</v>
      </c>
      <c r="Q98" s="4">
        <f t="shared" si="17"/>
        <v>104.89</v>
      </c>
      <c r="R98" s="4">
        <v>50</v>
      </c>
      <c r="S98" s="17">
        <v>1945.0000000000002</v>
      </c>
      <c r="T98">
        <f t="shared" si="18"/>
        <v>45.981087470449175</v>
      </c>
    </row>
    <row r="99" spans="1:20" x14ac:dyDescent="0.25">
      <c r="A99" s="4" t="s">
        <v>451</v>
      </c>
      <c r="B99" s="4" t="s">
        <v>249</v>
      </c>
      <c r="C99" s="4" t="s">
        <v>250</v>
      </c>
      <c r="D99" s="22" t="s">
        <v>56</v>
      </c>
      <c r="E99" s="4" t="s">
        <v>62</v>
      </c>
      <c r="F99" s="4">
        <v>90</v>
      </c>
      <c r="G99" s="4">
        <v>7.05</v>
      </c>
      <c r="H99" s="4">
        <v>634.5</v>
      </c>
      <c r="I99" s="23">
        <v>44124</v>
      </c>
      <c r="J99" s="4">
        <v>10.199999999999999</v>
      </c>
      <c r="K99" s="4">
        <v>917.99999999999989</v>
      </c>
      <c r="L99" s="24">
        <f t="shared" si="26"/>
        <v>1.4468085106382977</v>
      </c>
      <c r="M99" s="12">
        <f t="shared" si="15"/>
        <v>917.99999999999989</v>
      </c>
      <c r="N99" s="4">
        <f t="shared" si="11"/>
        <v>89</v>
      </c>
      <c r="O99" s="4">
        <f t="shared" si="12"/>
        <v>41</v>
      </c>
      <c r="P99" s="4">
        <v>130</v>
      </c>
      <c r="Q99" s="4">
        <f t="shared" si="17"/>
        <v>110.5</v>
      </c>
      <c r="R99" s="4">
        <v>50</v>
      </c>
      <c r="S99" s="17">
        <v>483</v>
      </c>
      <c r="T99">
        <f t="shared" si="18"/>
        <v>52.614379084967325</v>
      </c>
    </row>
    <row r="100" spans="1:20" x14ac:dyDescent="0.25">
      <c r="A100" s="4" t="s">
        <v>452</v>
      </c>
      <c r="B100" s="4" t="s">
        <v>251</v>
      </c>
      <c r="C100" s="4" t="s">
        <v>252</v>
      </c>
      <c r="D100" s="22" t="s">
        <v>56</v>
      </c>
      <c r="E100" s="4" t="s">
        <v>57</v>
      </c>
      <c r="F100" s="4">
        <v>90</v>
      </c>
      <c r="G100" s="4">
        <v>16.3</v>
      </c>
      <c r="H100" s="4">
        <v>1467</v>
      </c>
      <c r="I100" s="23">
        <v>44127</v>
      </c>
      <c r="J100" s="4">
        <v>17.55</v>
      </c>
      <c r="K100" s="4">
        <v>1579.5</v>
      </c>
      <c r="L100" s="24">
        <f t="shared" si="26"/>
        <v>1.0766871165644172</v>
      </c>
      <c r="M100" s="12">
        <f t="shared" ref="M100:M149" si="27">K100</f>
        <v>1579.5</v>
      </c>
      <c r="N100" s="4">
        <f t="shared" ref="N100:N149" si="28">F100-1</f>
        <v>89</v>
      </c>
      <c r="O100" s="4">
        <f t="shared" ref="O100:O149" si="29">130-N100</f>
        <v>41</v>
      </c>
      <c r="P100" s="4">
        <v>130</v>
      </c>
      <c r="Q100" s="4">
        <f t="shared" si="17"/>
        <v>110.5</v>
      </c>
      <c r="R100" s="4">
        <v>50</v>
      </c>
      <c r="S100" s="17">
        <v>757.49999999999989</v>
      </c>
      <c r="T100">
        <f t="shared" si="18"/>
        <v>47.958214624881286</v>
      </c>
    </row>
    <row r="101" spans="1:20" x14ac:dyDescent="0.25">
      <c r="A101" s="4" t="s">
        <v>453</v>
      </c>
      <c r="B101" s="4" t="s">
        <v>253</v>
      </c>
      <c r="C101" s="4" t="s">
        <v>254</v>
      </c>
      <c r="D101" s="22" t="s">
        <v>56</v>
      </c>
      <c r="E101" s="4" t="s">
        <v>57</v>
      </c>
      <c r="F101" s="4">
        <v>90</v>
      </c>
      <c r="G101" s="4">
        <v>17.600000000000001</v>
      </c>
      <c r="H101" s="4">
        <v>1584.0000000000002</v>
      </c>
      <c r="I101" s="23">
        <v>44127</v>
      </c>
      <c r="J101" s="4">
        <v>18.600000000000001</v>
      </c>
      <c r="K101" s="4">
        <v>1674.0000000000002</v>
      </c>
      <c r="L101" s="24">
        <f t="shared" si="26"/>
        <v>1.0568181818181819</v>
      </c>
      <c r="M101" s="12">
        <f t="shared" si="27"/>
        <v>1674.0000000000002</v>
      </c>
      <c r="N101" s="4">
        <f t="shared" si="28"/>
        <v>89</v>
      </c>
      <c r="O101" s="4">
        <f t="shared" si="29"/>
        <v>41</v>
      </c>
      <c r="P101" s="4">
        <v>130</v>
      </c>
      <c r="Q101" s="4">
        <f t="shared" si="17"/>
        <v>110.5</v>
      </c>
      <c r="R101" s="4">
        <v>50</v>
      </c>
      <c r="S101" s="17">
        <v>839.99999999999989</v>
      </c>
      <c r="T101">
        <f t="shared" si="18"/>
        <v>50.179211469534039</v>
      </c>
    </row>
    <row r="102" spans="1:20" x14ac:dyDescent="0.25">
      <c r="A102" s="4" t="s">
        <v>454</v>
      </c>
      <c r="B102" s="4" t="s">
        <v>255</v>
      </c>
      <c r="C102" s="4" t="s">
        <v>256</v>
      </c>
      <c r="D102" s="22" t="s">
        <v>56</v>
      </c>
      <c r="E102" s="4" t="s">
        <v>62</v>
      </c>
      <c r="F102" s="4">
        <v>90</v>
      </c>
      <c r="G102" s="4">
        <v>95.7</v>
      </c>
      <c r="H102" s="4">
        <v>8613</v>
      </c>
      <c r="I102" s="23">
        <v>44127</v>
      </c>
      <c r="J102" s="4">
        <v>12.2</v>
      </c>
      <c r="K102" s="4">
        <v>1098</v>
      </c>
      <c r="L102" s="24">
        <f t="shared" si="26"/>
        <v>0.12748171368861025</v>
      </c>
      <c r="M102" s="12">
        <f t="shared" si="27"/>
        <v>1098</v>
      </c>
      <c r="N102" s="4">
        <f t="shared" si="28"/>
        <v>89</v>
      </c>
      <c r="O102" s="4">
        <f t="shared" si="29"/>
        <v>41</v>
      </c>
      <c r="P102" s="4">
        <v>130</v>
      </c>
      <c r="Q102" s="4">
        <f t="shared" si="17"/>
        <v>110.5</v>
      </c>
      <c r="R102" s="4">
        <v>50</v>
      </c>
      <c r="S102" s="17">
        <v>607.5</v>
      </c>
      <c r="T102">
        <f t="shared" si="18"/>
        <v>55.327868852459019</v>
      </c>
    </row>
    <row r="103" spans="1:20" x14ac:dyDescent="0.25">
      <c r="A103" s="4" t="s">
        <v>455</v>
      </c>
      <c r="B103" s="4" t="s">
        <v>257</v>
      </c>
      <c r="C103" s="4" t="s">
        <v>258</v>
      </c>
      <c r="D103" s="22" t="s">
        <v>56</v>
      </c>
      <c r="E103" s="4" t="s">
        <v>57</v>
      </c>
      <c r="F103" s="4">
        <v>90</v>
      </c>
      <c r="G103" s="4">
        <v>11.2</v>
      </c>
      <c r="H103" s="4">
        <v>1007.9999999999999</v>
      </c>
      <c r="I103" s="23">
        <v>44127</v>
      </c>
      <c r="J103" s="4">
        <v>9.44</v>
      </c>
      <c r="K103" s="4">
        <v>849.59999999999991</v>
      </c>
      <c r="L103" s="24">
        <f t="shared" si="26"/>
        <v>0.84285714285714286</v>
      </c>
      <c r="M103" s="12">
        <f t="shared" si="27"/>
        <v>849.59999999999991</v>
      </c>
      <c r="N103" s="4">
        <f t="shared" si="28"/>
        <v>89</v>
      </c>
      <c r="O103" s="4">
        <f t="shared" si="29"/>
        <v>41</v>
      </c>
      <c r="P103" s="4">
        <v>130</v>
      </c>
      <c r="Q103" s="4">
        <f t="shared" si="17"/>
        <v>110.5</v>
      </c>
      <c r="R103" s="4">
        <v>50</v>
      </c>
      <c r="S103" s="17">
        <v>468.49999999999994</v>
      </c>
      <c r="T103">
        <f t="shared" si="18"/>
        <v>55.143596986817322</v>
      </c>
    </row>
    <row r="104" spans="1:20" x14ac:dyDescent="0.25">
      <c r="A104" s="4" t="s">
        <v>456</v>
      </c>
      <c r="B104" s="4" t="s">
        <v>259</v>
      </c>
      <c r="C104" s="4" t="s">
        <v>260</v>
      </c>
      <c r="D104" s="22" t="s">
        <v>56</v>
      </c>
      <c r="E104" s="4" t="s">
        <v>57</v>
      </c>
      <c r="F104" s="4">
        <v>90</v>
      </c>
      <c r="G104" s="4">
        <v>7.82</v>
      </c>
      <c r="H104" s="4">
        <v>703.80000000000007</v>
      </c>
      <c r="I104" s="23">
        <v>44127</v>
      </c>
      <c r="J104" s="4">
        <v>26.4</v>
      </c>
      <c r="K104" s="4">
        <v>2376</v>
      </c>
      <c r="L104" s="24">
        <f t="shared" si="26"/>
        <v>3.3759590792838869</v>
      </c>
      <c r="M104" s="12">
        <f t="shared" si="27"/>
        <v>2376</v>
      </c>
      <c r="N104" s="4">
        <f t="shared" si="28"/>
        <v>89</v>
      </c>
      <c r="O104" s="4">
        <f t="shared" si="29"/>
        <v>41</v>
      </c>
      <c r="P104" s="4">
        <v>130</v>
      </c>
      <c r="Q104" s="4">
        <f t="shared" si="17"/>
        <v>110.5</v>
      </c>
      <c r="R104" s="4">
        <v>50</v>
      </c>
      <c r="S104" s="17">
        <v>1125</v>
      </c>
      <c r="T104">
        <f t="shared" si="18"/>
        <v>47.348484848484851</v>
      </c>
    </row>
    <row r="105" spans="1:20" x14ac:dyDescent="0.25">
      <c r="A105" s="4" t="s">
        <v>457</v>
      </c>
      <c r="B105" s="4" t="s">
        <v>261</v>
      </c>
      <c r="C105" s="4" t="s">
        <v>262</v>
      </c>
      <c r="D105" s="22" t="s">
        <v>56</v>
      </c>
      <c r="E105" s="4" t="s">
        <v>62</v>
      </c>
      <c r="F105" s="4">
        <v>90</v>
      </c>
      <c r="G105" s="4">
        <v>6.23</v>
      </c>
      <c r="H105" s="4">
        <v>560.70000000000005</v>
      </c>
      <c r="I105" s="23">
        <v>44127</v>
      </c>
      <c r="J105" s="4">
        <v>4.68</v>
      </c>
      <c r="K105" s="4">
        <v>421.2</v>
      </c>
      <c r="L105" s="24">
        <f t="shared" si="26"/>
        <v>0.7512038523274478</v>
      </c>
      <c r="M105" s="12">
        <f t="shared" si="27"/>
        <v>421.2</v>
      </c>
      <c r="N105" s="4">
        <f t="shared" si="28"/>
        <v>89</v>
      </c>
      <c r="O105" s="4">
        <f t="shared" si="29"/>
        <v>41</v>
      </c>
      <c r="P105" s="4">
        <v>130</v>
      </c>
      <c r="Q105" s="4">
        <f t="shared" si="17"/>
        <v>110.5</v>
      </c>
      <c r="R105" s="4">
        <v>50</v>
      </c>
      <c r="S105" s="17">
        <v>210.5</v>
      </c>
      <c r="T105">
        <f t="shared" si="18"/>
        <v>49.976258309591643</v>
      </c>
    </row>
    <row r="106" spans="1:20" x14ac:dyDescent="0.25">
      <c r="A106" s="4" t="s">
        <v>458</v>
      </c>
      <c r="B106" s="4" t="s">
        <v>263</v>
      </c>
      <c r="C106" s="4" t="s">
        <v>264</v>
      </c>
      <c r="D106" s="22" t="s">
        <v>56</v>
      </c>
      <c r="E106" s="4" t="s">
        <v>57</v>
      </c>
      <c r="F106" s="4">
        <v>90</v>
      </c>
      <c r="G106" s="4">
        <v>8.36</v>
      </c>
      <c r="H106" s="4">
        <v>752.4</v>
      </c>
      <c r="I106" s="23">
        <v>44127</v>
      </c>
      <c r="J106" s="4">
        <v>31.6</v>
      </c>
      <c r="K106" s="4">
        <v>2844</v>
      </c>
      <c r="L106" s="24">
        <f t="shared" si="26"/>
        <v>3.7799043062200957</v>
      </c>
      <c r="M106" s="12">
        <f t="shared" si="27"/>
        <v>2844</v>
      </c>
      <c r="N106" s="4">
        <f t="shared" si="28"/>
        <v>89</v>
      </c>
      <c r="O106" s="4">
        <f t="shared" si="29"/>
        <v>41</v>
      </c>
      <c r="P106" s="4">
        <v>130</v>
      </c>
      <c r="Q106" s="4">
        <f t="shared" si="17"/>
        <v>110.5</v>
      </c>
      <c r="R106" s="4">
        <v>50</v>
      </c>
      <c r="S106" s="17">
        <v>1314.9999999999998</v>
      </c>
      <c r="T106">
        <f t="shared" si="18"/>
        <v>46.237693389592117</v>
      </c>
    </row>
    <row r="107" spans="1:20" x14ac:dyDescent="0.25">
      <c r="A107" s="4" t="s">
        <v>459</v>
      </c>
      <c r="B107" s="4" t="s">
        <v>265</v>
      </c>
      <c r="C107" s="4" t="s">
        <v>266</v>
      </c>
      <c r="D107" s="22" t="s">
        <v>56</v>
      </c>
      <c r="E107" s="4" t="s">
        <v>62</v>
      </c>
      <c r="F107" s="4">
        <v>90</v>
      </c>
      <c r="G107" s="4">
        <v>6.94</v>
      </c>
      <c r="H107" s="4">
        <v>624.6</v>
      </c>
      <c r="I107" s="23">
        <v>44127</v>
      </c>
      <c r="J107" s="4">
        <v>15.2</v>
      </c>
      <c r="K107" s="4">
        <v>1368</v>
      </c>
      <c r="L107" s="24">
        <f t="shared" si="26"/>
        <v>2.190201729106628</v>
      </c>
      <c r="M107" s="12">
        <f t="shared" si="27"/>
        <v>1368</v>
      </c>
      <c r="N107" s="4">
        <f t="shared" si="28"/>
        <v>89</v>
      </c>
      <c r="O107" s="4">
        <f t="shared" si="29"/>
        <v>41</v>
      </c>
      <c r="P107" s="4">
        <v>130</v>
      </c>
      <c r="Q107" s="4">
        <f t="shared" si="17"/>
        <v>110.5</v>
      </c>
      <c r="R107" s="4">
        <v>50</v>
      </c>
      <c r="S107" s="17">
        <v>669.99999999999989</v>
      </c>
      <c r="T107">
        <f t="shared" si="18"/>
        <v>48.976608187134495</v>
      </c>
    </row>
    <row r="108" spans="1:20" x14ac:dyDescent="0.25">
      <c r="A108" s="4" t="s">
        <v>460</v>
      </c>
      <c r="B108" s="4" t="s">
        <v>267</v>
      </c>
      <c r="C108" s="4" t="s">
        <v>268</v>
      </c>
      <c r="D108" s="22" t="s">
        <v>56</v>
      </c>
      <c r="E108" s="4" t="s">
        <v>57</v>
      </c>
      <c r="F108" s="4">
        <v>90</v>
      </c>
      <c r="G108" s="4">
        <v>5.73</v>
      </c>
      <c r="H108" s="4">
        <v>515.70000000000005</v>
      </c>
      <c r="I108" s="23">
        <v>44127</v>
      </c>
      <c r="J108" s="4">
        <v>7.74</v>
      </c>
      <c r="K108" s="4">
        <v>696.6</v>
      </c>
      <c r="L108" s="24">
        <f t="shared" si="26"/>
        <v>1.3507853403141361</v>
      </c>
      <c r="M108" s="12">
        <f t="shared" si="27"/>
        <v>696.6</v>
      </c>
      <c r="N108" s="4">
        <f t="shared" si="28"/>
        <v>89</v>
      </c>
      <c r="O108" s="4">
        <f t="shared" si="29"/>
        <v>41</v>
      </c>
      <c r="P108" s="4">
        <v>130</v>
      </c>
      <c r="Q108" s="4">
        <f t="shared" si="17"/>
        <v>110.5</v>
      </c>
      <c r="R108" s="4">
        <v>50</v>
      </c>
      <c r="S108" s="17">
        <v>315</v>
      </c>
      <c r="T108">
        <f t="shared" si="18"/>
        <v>45.219638242894057</v>
      </c>
    </row>
    <row r="109" spans="1:20" x14ac:dyDescent="0.25">
      <c r="A109" s="4" t="s">
        <v>461</v>
      </c>
      <c r="B109" s="4" t="s">
        <v>269</v>
      </c>
      <c r="C109" s="4" t="s">
        <v>270</v>
      </c>
      <c r="D109" s="22" t="s">
        <v>56</v>
      </c>
      <c r="E109" s="4" t="s">
        <v>62</v>
      </c>
      <c r="F109" s="4">
        <v>90</v>
      </c>
      <c r="G109" s="4">
        <v>19.3</v>
      </c>
      <c r="H109" s="4">
        <v>1737</v>
      </c>
      <c r="I109" s="23">
        <v>44127</v>
      </c>
      <c r="J109" s="4">
        <v>10.65</v>
      </c>
      <c r="K109" s="4">
        <v>958.5</v>
      </c>
      <c r="L109" s="24">
        <f t="shared" si="26"/>
        <v>0.55181347150259064</v>
      </c>
      <c r="M109" s="12">
        <f t="shared" si="27"/>
        <v>958.5</v>
      </c>
      <c r="N109" s="4">
        <f t="shared" si="28"/>
        <v>89</v>
      </c>
      <c r="O109" s="4">
        <f t="shared" si="29"/>
        <v>41</v>
      </c>
      <c r="P109" s="4">
        <v>130</v>
      </c>
      <c r="Q109" s="4">
        <f t="shared" si="17"/>
        <v>110.5</v>
      </c>
      <c r="R109" s="4">
        <v>50</v>
      </c>
      <c r="S109" s="17">
        <v>565</v>
      </c>
      <c r="T109">
        <f t="shared" si="18"/>
        <v>58.946270213875849</v>
      </c>
    </row>
    <row r="110" spans="1:20" x14ac:dyDescent="0.25">
      <c r="A110" s="4" t="s">
        <v>462</v>
      </c>
      <c r="B110" s="4" t="s">
        <v>271</v>
      </c>
      <c r="C110" s="4" t="s">
        <v>272</v>
      </c>
      <c r="D110" s="22" t="s">
        <v>56</v>
      </c>
      <c r="E110" s="4" t="s">
        <v>57</v>
      </c>
      <c r="F110" s="4">
        <v>80</v>
      </c>
      <c r="G110" s="4">
        <v>8.9499999999999993</v>
      </c>
      <c r="H110" s="4">
        <v>716</v>
      </c>
      <c r="I110" s="23">
        <v>44127</v>
      </c>
      <c r="J110" s="4">
        <v>36.9</v>
      </c>
      <c r="K110" s="4">
        <v>2952</v>
      </c>
      <c r="L110" s="24">
        <f t="shared" si="26"/>
        <v>4.1229050279329611</v>
      </c>
      <c r="M110" s="12">
        <f t="shared" si="27"/>
        <v>2952</v>
      </c>
      <c r="N110" s="4">
        <f t="shared" si="28"/>
        <v>79</v>
      </c>
      <c r="O110" s="4">
        <f t="shared" si="29"/>
        <v>51</v>
      </c>
      <c r="P110" s="4">
        <v>130</v>
      </c>
      <c r="Q110" s="4">
        <f t="shared" si="17"/>
        <v>110.5</v>
      </c>
      <c r="R110" s="4">
        <v>50</v>
      </c>
      <c r="S110" s="17">
        <v>2014.9999999999998</v>
      </c>
      <c r="T110">
        <f t="shared" si="18"/>
        <v>68.258807588075882</v>
      </c>
    </row>
    <row r="111" spans="1:20" x14ac:dyDescent="0.25">
      <c r="A111" s="4" t="s">
        <v>463</v>
      </c>
      <c r="B111" s="4" t="s">
        <v>273</v>
      </c>
      <c r="C111" s="4" t="s">
        <v>274</v>
      </c>
      <c r="D111" s="22" t="s">
        <v>56</v>
      </c>
      <c r="E111" s="4" t="s">
        <v>57</v>
      </c>
      <c r="F111" s="4">
        <v>90</v>
      </c>
      <c r="G111" s="4">
        <v>8.3000000000000007</v>
      </c>
      <c r="H111" s="4">
        <v>747.00000000000011</v>
      </c>
      <c r="I111" s="23">
        <v>44127</v>
      </c>
      <c r="J111" s="4">
        <v>47.4</v>
      </c>
      <c r="K111" s="4">
        <v>4266</v>
      </c>
      <c r="L111" s="24">
        <f t="shared" si="26"/>
        <v>5.710843373493975</v>
      </c>
      <c r="M111" s="12">
        <f t="shared" si="27"/>
        <v>4266</v>
      </c>
      <c r="N111" s="4">
        <f t="shared" si="28"/>
        <v>89</v>
      </c>
      <c r="O111" s="4">
        <f t="shared" si="29"/>
        <v>41</v>
      </c>
      <c r="P111" s="4">
        <v>130</v>
      </c>
      <c r="Q111" s="4">
        <f t="shared" si="17"/>
        <v>110.5</v>
      </c>
      <c r="R111" s="4">
        <v>50</v>
      </c>
      <c r="S111" s="17">
        <v>2595</v>
      </c>
      <c r="T111">
        <f t="shared" si="18"/>
        <v>60.829817158931085</v>
      </c>
    </row>
    <row r="112" spans="1:20" x14ac:dyDescent="0.25">
      <c r="A112" s="4" t="s">
        <v>464</v>
      </c>
      <c r="B112" s="4" t="s">
        <v>275</v>
      </c>
      <c r="C112" s="4" t="s">
        <v>276</v>
      </c>
      <c r="D112" s="22" t="s">
        <v>56</v>
      </c>
      <c r="E112" s="4" t="s">
        <v>62</v>
      </c>
      <c r="F112" s="4">
        <v>80</v>
      </c>
      <c r="G112" s="4">
        <v>6.88</v>
      </c>
      <c r="H112" s="4">
        <v>550.4</v>
      </c>
      <c r="I112" s="23">
        <v>44127</v>
      </c>
      <c r="J112" s="4">
        <v>12.4</v>
      </c>
      <c r="K112" s="4">
        <v>992</v>
      </c>
      <c r="L112" s="24">
        <f t="shared" si="26"/>
        <v>1.8023255813953489</v>
      </c>
      <c r="M112" s="12">
        <f t="shared" si="27"/>
        <v>992</v>
      </c>
      <c r="N112" s="4">
        <f t="shared" si="28"/>
        <v>79</v>
      </c>
      <c r="O112" s="4">
        <f t="shared" si="29"/>
        <v>51</v>
      </c>
      <c r="P112" s="4">
        <v>130</v>
      </c>
      <c r="Q112" s="4">
        <f t="shared" si="17"/>
        <v>110.5</v>
      </c>
      <c r="R112" s="4">
        <v>50</v>
      </c>
      <c r="S112" s="17">
        <v>575</v>
      </c>
      <c r="T112">
        <f t="shared" si="18"/>
        <v>57.963709677419352</v>
      </c>
    </row>
    <row r="113" spans="1:20" x14ac:dyDescent="0.25">
      <c r="A113" s="4" t="s">
        <v>465</v>
      </c>
      <c r="B113" s="4" t="s">
        <v>277</v>
      </c>
      <c r="C113" s="4" t="s">
        <v>278</v>
      </c>
      <c r="D113" s="22" t="s">
        <v>56</v>
      </c>
      <c r="E113" s="4" t="s">
        <v>62</v>
      </c>
      <c r="F113" s="4">
        <v>90</v>
      </c>
      <c r="G113" s="4">
        <v>6.82</v>
      </c>
      <c r="H113" s="4">
        <v>613.80000000000007</v>
      </c>
      <c r="I113" s="23">
        <v>44127</v>
      </c>
      <c r="J113" s="4">
        <v>13.55</v>
      </c>
      <c r="K113" s="4">
        <v>1219.5</v>
      </c>
      <c r="L113" s="24">
        <f t="shared" si="26"/>
        <v>1.9868035190615834</v>
      </c>
      <c r="M113" s="12">
        <f t="shared" si="27"/>
        <v>1219.5</v>
      </c>
      <c r="N113" s="4">
        <f t="shared" si="28"/>
        <v>89</v>
      </c>
      <c r="O113" s="4">
        <f t="shared" si="29"/>
        <v>41</v>
      </c>
      <c r="P113" s="4">
        <v>130</v>
      </c>
      <c r="Q113" s="4">
        <f t="shared" si="17"/>
        <v>110.5</v>
      </c>
      <c r="R113" s="4">
        <v>50</v>
      </c>
      <c r="S113" s="17">
        <v>600</v>
      </c>
      <c r="T113">
        <f t="shared" si="18"/>
        <v>49.200492004920051</v>
      </c>
    </row>
    <row r="114" spans="1:20" x14ac:dyDescent="0.25">
      <c r="A114" s="4" t="s">
        <v>466</v>
      </c>
      <c r="B114" s="4" t="s">
        <v>279</v>
      </c>
      <c r="C114" s="4" t="s">
        <v>280</v>
      </c>
      <c r="D114" s="22" t="s">
        <v>56</v>
      </c>
      <c r="E114" s="4" t="s">
        <v>62</v>
      </c>
      <c r="F114" s="4">
        <v>80</v>
      </c>
      <c r="G114" s="4">
        <v>8.59</v>
      </c>
      <c r="H114" s="4">
        <v>687.2</v>
      </c>
      <c r="I114" s="23">
        <v>44127</v>
      </c>
      <c r="J114" s="4">
        <v>14.95</v>
      </c>
      <c r="K114" s="4">
        <v>1196</v>
      </c>
      <c r="L114" s="24">
        <f t="shared" si="26"/>
        <v>1.7403958090803258</v>
      </c>
      <c r="M114" s="12">
        <f t="shared" si="27"/>
        <v>1196</v>
      </c>
      <c r="N114" s="4">
        <f t="shared" si="28"/>
        <v>79</v>
      </c>
      <c r="O114" s="4">
        <f t="shared" si="29"/>
        <v>51</v>
      </c>
      <c r="P114" s="4">
        <v>130</v>
      </c>
      <c r="Q114" s="4">
        <f t="shared" si="17"/>
        <v>110.5</v>
      </c>
      <c r="R114" s="4">
        <v>50</v>
      </c>
      <c r="S114" s="17">
        <v>715</v>
      </c>
      <c r="T114">
        <f t="shared" si="18"/>
        <v>59.782608695652172</v>
      </c>
    </row>
    <row r="115" spans="1:20" x14ac:dyDescent="0.25">
      <c r="A115" s="4" t="s">
        <v>467</v>
      </c>
      <c r="B115" s="4" t="s">
        <v>281</v>
      </c>
      <c r="C115" s="4" t="s">
        <v>282</v>
      </c>
      <c r="D115" s="22" t="s">
        <v>56</v>
      </c>
      <c r="E115" s="4" t="s">
        <v>57</v>
      </c>
      <c r="F115" s="4">
        <v>80</v>
      </c>
      <c r="G115" s="4">
        <v>10.6</v>
      </c>
      <c r="H115" s="4">
        <v>848</v>
      </c>
      <c r="I115" s="23">
        <v>44127</v>
      </c>
      <c r="J115" s="4">
        <v>67.900000000000006</v>
      </c>
      <c r="K115" s="4">
        <v>5432</v>
      </c>
      <c r="L115" s="24">
        <f t="shared" si="26"/>
        <v>6.4056603773584904</v>
      </c>
      <c r="M115" s="12">
        <f t="shared" si="27"/>
        <v>5432</v>
      </c>
      <c r="N115" s="4">
        <f t="shared" si="28"/>
        <v>79</v>
      </c>
      <c r="O115" s="4">
        <f t="shared" si="29"/>
        <v>51</v>
      </c>
      <c r="P115" s="4">
        <v>130</v>
      </c>
      <c r="Q115" s="4">
        <f t="shared" si="17"/>
        <v>110.5</v>
      </c>
      <c r="R115" s="4">
        <v>50</v>
      </c>
      <c r="S115" s="17">
        <v>1939.9999999999998</v>
      </c>
      <c r="T115">
        <f t="shared" si="18"/>
        <v>35.714285714285708</v>
      </c>
    </row>
    <row r="116" spans="1:20" x14ac:dyDescent="0.25">
      <c r="A116" s="4" t="s">
        <v>468</v>
      </c>
      <c r="B116" s="4" t="s">
        <v>283</v>
      </c>
      <c r="C116" s="4" t="s">
        <v>284</v>
      </c>
      <c r="D116" s="22" t="s">
        <v>56</v>
      </c>
      <c r="E116" s="4" t="s">
        <v>57</v>
      </c>
      <c r="F116" s="4">
        <v>90</v>
      </c>
      <c r="G116" s="4">
        <v>8.59</v>
      </c>
      <c r="H116" s="4">
        <v>773.1</v>
      </c>
      <c r="I116" s="23">
        <v>44127</v>
      </c>
      <c r="J116" s="4">
        <v>32.700000000000003</v>
      </c>
      <c r="K116" s="4">
        <v>2943.0000000000005</v>
      </c>
      <c r="L116" s="24">
        <f t="shared" si="26"/>
        <v>3.80675203725262</v>
      </c>
      <c r="M116" s="12">
        <f t="shared" si="27"/>
        <v>2943.0000000000005</v>
      </c>
      <c r="N116" s="4">
        <f t="shared" si="28"/>
        <v>89</v>
      </c>
      <c r="O116" s="4">
        <f t="shared" si="29"/>
        <v>41</v>
      </c>
      <c r="P116" s="4">
        <v>118.8</v>
      </c>
      <c r="Q116" s="4">
        <f t="shared" si="17"/>
        <v>100.97999999999999</v>
      </c>
      <c r="R116" s="4">
        <v>50</v>
      </c>
      <c r="S116" s="17">
        <v>1460</v>
      </c>
      <c r="T116">
        <f t="shared" si="18"/>
        <v>49.609242269792716</v>
      </c>
    </row>
    <row r="117" spans="1:20" x14ac:dyDescent="0.25">
      <c r="A117" s="4" t="s">
        <v>469</v>
      </c>
      <c r="B117" s="4" t="s">
        <v>285</v>
      </c>
      <c r="C117" s="4" t="s">
        <v>286</v>
      </c>
      <c r="D117" s="22" t="s">
        <v>56</v>
      </c>
      <c r="E117" s="4" t="s">
        <v>62</v>
      </c>
      <c r="F117" s="4">
        <v>80</v>
      </c>
      <c r="G117" s="4">
        <v>8.24</v>
      </c>
      <c r="H117" s="4">
        <v>659.2</v>
      </c>
      <c r="I117" s="23">
        <v>44127</v>
      </c>
      <c r="J117" s="4">
        <v>13.15</v>
      </c>
      <c r="K117" s="4">
        <v>1052</v>
      </c>
      <c r="L117" s="24">
        <f t="shared" si="26"/>
        <v>1.5958737864077668</v>
      </c>
      <c r="M117" s="12">
        <f t="shared" si="27"/>
        <v>1052</v>
      </c>
      <c r="N117" s="4">
        <f t="shared" si="28"/>
        <v>79</v>
      </c>
      <c r="O117" s="4">
        <f t="shared" si="29"/>
        <v>51</v>
      </c>
      <c r="P117" s="4">
        <v>130</v>
      </c>
      <c r="Q117" s="4">
        <f t="shared" si="17"/>
        <v>110.5</v>
      </c>
      <c r="R117" s="4">
        <v>50</v>
      </c>
      <c r="S117" s="17">
        <v>770</v>
      </c>
      <c r="T117">
        <f t="shared" si="18"/>
        <v>73.193916349809882</v>
      </c>
    </row>
    <row r="118" spans="1:20" x14ac:dyDescent="0.25">
      <c r="A118" s="4" t="s">
        <v>470</v>
      </c>
      <c r="B118" s="4" t="s">
        <v>287</v>
      </c>
      <c r="C118" s="4" t="s">
        <v>288</v>
      </c>
      <c r="D118" s="22" t="s">
        <v>56</v>
      </c>
      <c r="E118" s="4" t="s">
        <v>62</v>
      </c>
      <c r="F118" s="4">
        <v>80</v>
      </c>
      <c r="G118" s="4">
        <v>7.98</v>
      </c>
      <c r="H118" s="4">
        <v>638.40000000000009</v>
      </c>
      <c r="I118" s="23">
        <v>44127</v>
      </c>
      <c r="J118" s="4">
        <v>13.7</v>
      </c>
      <c r="K118" s="4">
        <v>1096</v>
      </c>
      <c r="L118" s="24">
        <f t="shared" si="26"/>
        <v>1.7167919799498745</v>
      </c>
      <c r="M118" s="12">
        <f t="shared" si="27"/>
        <v>1096</v>
      </c>
      <c r="N118" s="4">
        <f t="shared" si="28"/>
        <v>79</v>
      </c>
      <c r="O118" s="4">
        <f t="shared" si="29"/>
        <v>51</v>
      </c>
      <c r="P118" s="4">
        <v>130</v>
      </c>
      <c r="Q118" s="4">
        <f t="shared" si="17"/>
        <v>110.5</v>
      </c>
      <c r="R118" s="4">
        <v>50</v>
      </c>
      <c r="S118" s="17">
        <v>580.00000000000011</v>
      </c>
      <c r="T118">
        <f t="shared" si="18"/>
        <v>52.919708029197089</v>
      </c>
    </row>
    <row r="119" spans="1:20" x14ac:dyDescent="0.25">
      <c r="A119" s="4" t="s">
        <v>471</v>
      </c>
      <c r="B119" s="4" t="s">
        <v>289</v>
      </c>
      <c r="C119" s="4" t="s">
        <v>290</v>
      </c>
      <c r="D119" s="22" t="s">
        <v>56</v>
      </c>
      <c r="E119" s="4" t="s">
        <v>62</v>
      </c>
      <c r="F119" s="4">
        <v>80</v>
      </c>
      <c r="G119" s="4">
        <v>7.24</v>
      </c>
      <c r="H119" s="4">
        <v>579.20000000000005</v>
      </c>
      <c r="I119" s="23">
        <v>44127</v>
      </c>
      <c r="J119" s="4">
        <v>10.4</v>
      </c>
      <c r="K119" s="4">
        <v>832</v>
      </c>
      <c r="L119" s="24">
        <f t="shared" si="26"/>
        <v>1.4364640883977899</v>
      </c>
      <c r="M119" s="12">
        <f t="shared" si="27"/>
        <v>832</v>
      </c>
      <c r="N119" s="4">
        <f t="shared" si="28"/>
        <v>79</v>
      </c>
      <c r="O119" s="4">
        <f t="shared" si="29"/>
        <v>51</v>
      </c>
      <c r="P119" s="4">
        <v>130</v>
      </c>
      <c r="Q119" s="4">
        <f t="shared" si="17"/>
        <v>110.5</v>
      </c>
      <c r="R119" s="4">
        <v>50</v>
      </c>
      <c r="S119" s="17">
        <v>406.49999999999994</v>
      </c>
      <c r="T119">
        <f t="shared" si="18"/>
        <v>48.858173076923073</v>
      </c>
    </row>
    <row r="120" spans="1:20" x14ac:dyDescent="0.25">
      <c r="A120" s="4" t="s">
        <v>472</v>
      </c>
      <c r="B120" s="4" t="s">
        <v>291</v>
      </c>
      <c r="C120" s="4" t="s">
        <v>292</v>
      </c>
      <c r="D120" s="22" t="s">
        <v>56</v>
      </c>
      <c r="E120" s="4" t="s">
        <v>57</v>
      </c>
      <c r="F120" s="4">
        <v>80</v>
      </c>
      <c r="G120" s="4">
        <v>9.9700000000000006</v>
      </c>
      <c r="H120" s="4">
        <v>797.6</v>
      </c>
      <c r="I120" s="23">
        <v>44127</v>
      </c>
      <c r="J120" s="4">
        <v>35.5</v>
      </c>
      <c r="K120" s="4">
        <v>2840</v>
      </c>
      <c r="L120" s="24">
        <f t="shared" si="26"/>
        <v>3.5606820461384152</v>
      </c>
      <c r="M120" s="12">
        <f t="shared" si="27"/>
        <v>2840</v>
      </c>
      <c r="N120" s="4">
        <f t="shared" si="28"/>
        <v>79</v>
      </c>
      <c r="O120" s="4">
        <f t="shared" si="29"/>
        <v>51</v>
      </c>
      <c r="P120" s="4">
        <v>130</v>
      </c>
      <c r="Q120" s="4">
        <f t="shared" si="17"/>
        <v>110.5</v>
      </c>
      <c r="R120" s="4">
        <v>50</v>
      </c>
      <c r="S120" s="17">
        <v>1760.0000000000002</v>
      </c>
      <c r="T120">
        <f t="shared" si="18"/>
        <v>61.971830985915503</v>
      </c>
    </row>
    <row r="121" spans="1:20" x14ac:dyDescent="0.25">
      <c r="A121" s="4" t="s">
        <v>473</v>
      </c>
      <c r="B121" s="4" t="s">
        <v>293</v>
      </c>
      <c r="C121" s="4" t="s">
        <v>294</v>
      </c>
      <c r="D121" s="22" t="s">
        <v>56</v>
      </c>
      <c r="E121" s="4" t="s">
        <v>57</v>
      </c>
      <c r="F121" s="4">
        <v>90</v>
      </c>
      <c r="G121" s="4">
        <v>8.61</v>
      </c>
      <c r="H121" s="4">
        <v>774.9</v>
      </c>
      <c r="I121" s="23">
        <v>44127</v>
      </c>
      <c r="J121" s="4">
        <v>21.9</v>
      </c>
      <c r="K121" s="4">
        <v>1970.9999999999998</v>
      </c>
      <c r="L121" s="24">
        <f t="shared" si="26"/>
        <v>2.5435540069686411</v>
      </c>
      <c r="M121" s="12">
        <f t="shared" si="27"/>
        <v>1970.9999999999998</v>
      </c>
      <c r="N121" s="4">
        <f t="shared" si="28"/>
        <v>89</v>
      </c>
      <c r="O121" s="4">
        <f t="shared" si="29"/>
        <v>41</v>
      </c>
      <c r="P121" s="4">
        <v>130</v>
      </c>
      <c r="Q121" s="4">
        <f t="shared" si="17"/>
        <v>110.5</v>
      </c>
      <c r="R121" s="4">
        <v>50</v>
      </c>
      <c r="S121" s="17">
        <v>830.00000000000011</v>
      </c>
      <c r="T121">
        <f t="shared" si="18"/>
        <v>42.110603754439381</v>
      </c>
    </row>
    <row r="122" spans="1:20" x14ac:dyDescent="0.25">
      <c r="A122" s="4" t="s">
        <v>474</v>
      </c>
      <c r="B122" s="4" t="s">
        <v>295</v>
      </c>
      <c r="C122" s="4" t="s">
        <v>296</v>
      </c>
      <c r="D122" s="22" t="s">
        <v>56</v>
      </c>
      <c r="E122" s="4" t="s">
        <v>62</v>
      </c>
      <c r="F122" s="4">
        <v>90</v>
      </c>
      <c r="G122" s="4">
        <v>5.69</v>
      </c>
      <c r="H122" s="4">
        <v>512.1</v>
      </c>
      <c r="I122" s="23">
        <v>44127</v>
      </c>
      <c r="J122" s="4">
        <v>8.42</v>
      </c>
      <c r="K122" s="4">
        <v>757.8</v>
      </c>
      <c r="L122" s="24">
        <f t="shared" si="26"/>
        <v>1.4797891036906852</v>
      </c>
      <c r="M122" s="12">
        <f t="shared" si="27"/>
        <v>757.8</v>
      </c>
      <c r="N122" s="4">
        <f t="shared" si="28"/>
        <v>89</v>
      </c>
      <c r="O122" s="4">
        <f t="shared" si="29"/>
        <v>41</v>
      </c>
      <c r="P122" s="4">
        <v>130</v>
      </c>
      <c r="Q122" s="4">
        <f t="shared" si="17"/>
        <v>110.5</v>
      </c>
      <c r="R122" s="4">
        <v>50</v>
      </c>
      <c r="S122" s="17">
        <v>251.49999999999997</v>
      </c>
      <c r="T122">
        <f t="shared" si="18"/>
        <v>33.188176299815254</v>
      </c>
    </row>
    <row r="123" spans="1:20" x14ac:dyDescent="0.25">
      <c r="A123" s="4" t="s">
        <v>475</v>
      </c>
      <c r="B123" s="4" t="s">
        <v>297</v>
      </c>
      <c r="C123" s="4" t="s">
        <v>298</v>
      </c>
      <c r="D123" s="22" t="s">
        <v>56</v>
      </c>
      <c r="E123" s="4" t="s">
        <v>57</v>
      </c>
      <c r="F123" s="4">
        <v>90</v>
      </c>
      <c r="G123" s="4">
        <v>5.55</v>
      </c>
      <c r="H123" s="4">
        <v>499.5</v>
      </c>
      <c r="I123" s="23">
        <v>44127</v>
      </c>
      <c r="J123" s="4">
        <v>8.3800000000000008</v>
      </c>
      <c r="K123" s="4">
        <v>754.2</v>
      </c>
      <c r="L123" s="24">
        <f t="shared" si="26"/>
        <v>1.50990990990991</v>
      </c>
      <c r="M123" s="12">
        <f t="shared" si="27"/>
        <v>754.2</v>
      </c>
      <c r="N123" s="4">
        <f t="shared" si="28"/>
        <v>89</v>
      </c>
      <c r="O123" s="4">
        <f t="shared" si="29"/>
        <v>41</v>
      </c>
      <c r="P123" s="4">
        <v>130</v>
      </c>
      <c r="Q123" s="4">
        <f t="shared" si="17"/>
        <v>110.5</v>
      </c>
      <c r="R123" s="4">
        <v>50</v>
      </c>
      <c r="S123" s="17">
        <v>265</v>
      </c>
      <c r="T123">
        <f t="shared" si="18"/>
        <v>35.136568549456378</v>
      </c>
    </row>
    <row r="124" spans="1:20" x14ac:dyDescent="0.25">
      <c r="A124" s="4" t="s">
        <v>476</v>
      </c>
      <c r="B124" s="4" t="s">
        <v>299</v>
      </c>
      <c r="C124" s="4" t="s">
        <v>300</v>
      </c>
      <c r="D124" s="22" t="s">
        <v>56</v>
      </c>
      <c r="E124" s="4" t="s">
        <v>57</v>
      </c>
      <c r="F124" s="4">
        <v>80</v>
      </c>
      <c r="G124" s="4">
        <v>9.93</v>
      </c>
      <c r="H124" s="4">
        <v>794.4</v>
      </c>
      <c r="I124" s="23">
        <v>44127</v>
      </c>
      <c r="J124" s="4">
        <v>48.2</v>
      </c>
      <c r="K124" s="4">
        <v>3856</v>
      </c>
      <c r="L124" s="24">
        <f t="shared" si="26"/>
        <v>4.8539778449144011</v>
      </c>
      <c r="M124" s="12">
        <f t="shared" si="27"/>
        <v>3856</v>
      </c>
      <c r="N124" s="4">
        <f t="shared" si="28"/>
        <v>79</v>
      </c>
      <c r="O124" s="4">
        <f t="shared" si="29"/>
        <v>51</v>
      </c>
      <c r="P124" s="4">
        <v>130</v>
      </c>
      <c r="Q124" s="4">
        <f t="shared" si="17"/>
        <v>110.5</v>
      </c>
      <c r="R124" s="4">
        <v>50</v>
      </c>
      <c r="S124" s="17">
        <v>1880</v>
      </c>
      <c r="T124">
        <f t="shared" si="18"/>
        <v>48.755186721991699</v>
      </c>
    </row>
    <row r="125" spans="1:20" x14ac:dyDescent="0.25">
      <c r="A125" s="4" t="s">
        <v>477</v>
      </c>
      <c r="B125" s="4" t="s">
        <v>301</v>
      </c>
      <c r="C125" s="4" t="s">
        <v>302</v>
      </c>
      <c r="D125" s="22" t="s">
        <v>56</v>
      </c>
      <c r="E125" s="4" t="s">
        <v>62</v>
      </c>
      <c r="F125" s="4">
        <v>80</v>
      </c>
      <c r="G125" s="4">
        <v>7.03</v>
      </c>
      <c r="H125" s="4">
        <v>562.4</v>
      </c>
      <c r="I125" s="23">
        <v>44127</v>
      </c>
      <c r="J125" s="4">
        <v>10.7</v>
      </c>
      <c r="K125" s="4">
        <v>856</v>
      </c>
      <c r="L125" s="24">
        <f t="shared" si="26"/>
        <v>1.5220483641536273</v>
      </c>
      <c r="M125" s="12">
        <f t="shared" si="27"/>
        <v>856</v>
      </c>
      <c r="N125" s="4">
        <f t="shared" si="28"/>
        <v>79</v>
      </c>
      <c r="O125" s="4">
        <f t="shared" si="29"/>
        <v>51</v>
      </c>
      <c r="P125" s="4">
        <v>130</v>
      </c>
      <c r="Q125" s="4">
        <f t="shared" si="17"/>
        <v>110.5</v>
      </c>
      <c r="R125" s="4">
        <v>50</v>
      </c>
      <c r="S125" s="17">
        <v>457</v>
      </c>
      <c r="T125">
        <f t="shared" si="18"/>
        <v>53.387850467289724</v>
      </c>
    </row>
    <row r="126" spans="1:20" x14ac:dyDescent="0.25">
      <c r="A126" s="4" t="s">
        <v>478</v>
      </c>
      <c r="B126" s="4" t="s">
        <v>303</v>
      </c>
      <c r="C126" s="4" t="s">
        <v>304</v>
      </c>
      <c r="D126" s="22" t="s">
        <v>56</v>
      </c>
      <c r="E126" s="4" t="s">
        <v>57</v>
      </c>
      <c r="F126" s="4">
        <v>90</v>
      </c>
      <c r="G126" s="4">
        <v>9.5500000000000007</v>
      </c>
      <c r="H126" s="4">
        <v>859.50000000000011</v>
      </c>
      <c r="I126" s="23">
        <v>44127</v>
      </c>
      <c r="J126" s="4">
        <v>60.3</v>
      </c>
      <c r="K126" s="4">
        <v>5427</v>
      </c>
      <c r="L126" s="24">
        <f t="shared" si="26"/>
        <v>6.314136125654449</v>
      </c>
      <c r="M126" s="12">
        <f t="shared" si="27"/>
        <v>5427</v>
      </c>
      <c r="N126" s="4">
        <f t="shared" si="28"/>
        <v>89</v>
      </c>
      <c r="O126" s="4">
        <f t="shared" si="29"/>
        <v>41</v>
      </c>
      <c r="P126" s="4">
        <v>130</v>
      </c>
      <c r="Q126" s="4">
        <f t="shared" si="17"/>
        <v>110.5</v>
      </c>
      <c r="R126" s="4">
        <v>50</v>
      </c>
      <c r="S126" s="17">
        <v>2900</v>
      </c>
      <c r="T126">
        <f t="shared" si="18"/>
        <v>53.436521098212644</v>
      </c>
    </row>
    <row r="127" spans="1:20" x14ac:dyDescent="0.25">
      <c r="A127" s="4" t="s">
        <v>479</v>
      </c>
      <c r="B127" s="4" t="s">
        <v>305</v>
      </c>
      <c r="C127" s="4" t="s">
        <v>306</v>
      </c>
      <c r="D127" s="22" t="s">
        <v>56</v>
      </c>
      <c r="E127" s="4" t="s">
        <v>57</v>
      </c>
      <c r="F127" s="4">
        <v>90</v>
      </c>
      <c r="G127" s="4">
        <v>7.46</v>
      </c>
      <c r="H127" s="4">
        <v>671.4</v>
      </c>
      <c r="I127" s="23">
        <v>44127</v>
      </c>
      <c r="J127" s="4">
        <v>18.649999999999999</v>
      </c>
      <c r="K127" s="4">
        <v>1678.4999999999998</v>
      </c>
      <c r="L127" s="24">
        <f t="shared" si="26"/>
        <v>2.4999999999999996</v>
      </c>
      <c r="M127" s="12">
        <f t="shared" si="27"/>
        <v>1678.4999999999998</v>
      </c>
      <c r="N127" s="4">
        <f t="shared" si="28"/>
        <v>89</v>
      </c>
      <c r="O127" s="4">
        <f t="shared" si="29"/>
        <v>41</v>
      </c>
      <c r="P127" s="4">
        <v>122.2</v>
      </c>
      <c r="Q127" s="4">
        <f t="shared" si="17"/>
        <v>103.87</v>
      </c>
      <c r="R127" s="4">
        <v>50</v>
      </c>
      <c r="S127" s="17">
        <v>672.5</v>
      </c>
      <c r="T127">
        <f t="shared" si="18"/>
        <v>40.065534703604413</v>
      </c>
    </row>
    <row r="128" spans="1:20" x14ac:dyDescent="0.25">
      <c r="A128" s="4" t="s">
        <v>480</v>
      </c>
      <c r="B128" s="4" t="s">
        <v>307</v>
      </c>
      <c r="C128" s="4" t="s">
        <v>308</v>
      </c>
      <c r="D128" s="22" t="s">
        <v>56</v>
      </c>
      <c r="E128" s="4" t="s">
        <v>62</v>
      </c>
      <c r="F128" s="4">
        <v>80</v>
      </c>
      <c r="G128" s="4">
        <v>9.66</v>
      </c>
      <c r="H128" s="4">
        <v>772.8</v>
      </c>
      <c r="I128" s="23">
        <v>44127</v>
      </c>
      <c r="J128" s="4">
        <v>21.1</v>
      </c>
      <c r="K128" s="4">
        <v>1688</v>
      </c>
      <c r="L128" s="24">
        <f t="shared" si="26"/>
        <v>2.1842650103519672</v>
      </c>
      <c r="M128" s="12">
        <f t="shared" si="27"/>
        <v>1688</v>
      </c>
      <c r="N128" s="4">
        <f t="shared" si="28"/>
        <v>79</v>
      </c>
      <c r="O128" s="4">
        <f t="shared" si="29"/>
        <v>51</v>
      </c>
      <c r="P128" s="4">
        <v>141.6</v>
      </c>
      <c r="Q128" s="4">
        <f t="shared" si="17"/>
        <v>120.35999999999999</v>
      </c>
      <c r="R128" s="4">
        <v>50</v>
      </c>
      <c r="S128" s="17">
        <v>1305</v>
      </c>
      <c r="T128">
        <f t="shared" si="18"/>
        <v>77.310426540284354</v>
      </c>
    </row>
    <row r="129" spans="1:20" x14ac:dyDescent="0.25">
      <c r="A129" s="4" t="s">
        <v>481</v>
      </c>
      <c r="B129" s="4" t="s">
        <v>309</v>
      </c>
      <c r="C129" s="4" t="s">
        <v>310</v>
      </c>
      <c r="D129" s="22" t="s">
        <v>56</v>
      </c>
      <c r="E129" s="4" t="s">
        <v>57</v>
      </c>
      <c r="F129" s="4">
        <v>90</v>
      </c>
      <c r="G129" s="4">
        <v>9.83</v>
      </c>
      <c r="H129" s="4">
        <v>884.7</v>
      </c>
      <c r="I129" s="23">
        <v>44127</v>
      </c>
      <c r="J129" s="4">
        <v>104.5</v>
      </c>
      <c r="K129" s="4">
        <v>9405</v>
      </c>
      <c r="L129" s="24">
        <f t="shared" si="26"/>
        <v>10.630722278738554</v>
      </c>
      <c r="M129" s="12">
        <f t="shared" si="27"/>
        <v>9405</v>
      </c>
      <c r="N129" s="4">
        <f t="shared" si="28"/>
        <v>89</v>
      </c>
      <c r="O129" s="4">
        <f t="shared" si="29"/>
        <v>41</v>
      </c>
      <c r="P129" s="4">
        <v>130</v>
      </c>
      <c r="Q129" s="4">
        <f t="shared" si="17"/>
        <v>110.5</v>
      </c>
      <c r="R129" s="4">
        <v>50</v>
      </c>
      <c r="S129" s="17">
        <v>4505</v>
      </c>
      <c r="T129">
        <f t="shared" si="18"/>
        <v>47.900053163211062</v>
      </c>
    </row>
    <row r="130" spans="1:20" x14ac:dyDescent="0.25">
      <c r="A130" s="4" t="s">
        <v>482</v>
      </c>
      <c r="B130" s="4" t="s">
        <v>311</v>
      </c>
      <c r="C130" s="4" t="s">
        <v>312</v>
      </c>
      <c r="D130" s="22" t="s">
        <v>56</v>
      </c>
      <c r="E130" s="4" t="s">
        <v>57</v>
      </c>
      <c r="F130" s="4">
        <v>90</v>
      </c>
      <c r="G130" s="4">
        <v>6.18</v>
      </c>
      <c r="H130" s="4">
        <v>556.19999999999993</v>
      </c>
      <c r="I130" s="23">
        <v>44127</v>
      </c>
      <c r="J130" s="4">
        <v>7.66</v>
      </c>
      <c r="K130" s="4">
        <v>689.4</v>
      </c>
      <c r="L130" s="24">
        <f t="shared" ref="L130:L161" si="30">K130/H130</f>
        <v>1.2394822006472492</v>
      </c>
      <c r="M130" s="12">
        <f t="shared" si="27"/>
        <v>689.4</v>
      </c>
      <c r="N130" s="4">
        <f t="shared" si="28"/>
        <v>89</v>
      </c>
      <c r="O130" s="4">
        <f t="shared" si="29"/>
        <v>41</v>
      </c>
      <c r="P130" s="4">
        <v>130</v>
      </c>
      <c r="Q130" s="4">
        <f t="shared" si="17"/>
        <v>110.5</v>
      </c>
      <c r="R130" s="4">
        <v>50</v>
      </c>
      <c r="S130" s="17">
        <v>348.50000000000006</v>
      </c>
      <c r="T130">
        <f t="shared" si="18"/>
        <v>50.551203945459832</v>
      </c>
    </row>
    <row r="131" spans="1:20" x14ac:dyDescent="0.25">
      <c r="A131" s="4" t="s">
        <v>483</v>
      </c>
      <c r="B131" s="4" t="s">
        <v>313</v>
      </c>
      <c r="C131" s="4" t="s">
        <v>314</v>
      </c>
      <c r="D131" s="22" t="s">
        <v>56</v>
      </c>
      <c r="E131" s="4" t="s">
        <v>62</v>
      </c>
      <c r="F131" s="4">
        <v>90</v>
      </c>
      <c r="G131" s="25">
        <v>8.9777777777777779</v>
      </c>
      <c r="H131" s="4">
        <v>808</v>
      </c>
      <c r="I131" s="23">
        <v>44127</v>
      </c>
      <c r="J131" s="4">
        <v>8.5</v>
      </c>
      <c r="K131" s="4">
        <v>765</v>
      </c>
      <c r="L131" s="24">
        <f t="shared" si="30"/>
        <v>0.94678217821782173</v>
      </c>
      <c r="M131" s="12">
        <f t="shared" si="27"/>
        <v>765</v>
      </c>
      <c r="N131" s="4">
        <f t="shared" si="28"/>
        <v>89</v>
      </c>
      <c r="O131" s="4">
        <f t="shared" si="29"/>
        <v>41</v>
      </c>
      <c r="P131" s="4">
        <v>130</v>
      </c>
      <c r="Q131" s="4">
        <f t="shared" si="17"/>
        <v>110.5</v>
      </c>
      <c r="R131" s="4">
        <v>50</v>
      </c>
      <c r="S131" s="17">
        <v>422.49999999999994</v>
      </c>
      <c r="T131">
        <f t="shared" si="18"/>
        <v>55.228758169934636</v>
      </c>
    </row>
    <row r="132" spans="1:20" x14ac:dyDescent="0.25">
      <c r="A132" s="4" t="s">
        <v>484</v>
      </c>
      <c r="B132" s="4" t="s">
        <v>315</v>
      </c>
      <c r="C132" s="4" t="s">
        <v>316</v>
      </c>
      <c r="D132" s="22" t="s">
        <v>56</v>
      </c>
      <c r="E132" s="4" t="s">
        <v>57</v>
      </c>
      <c r="F132" s="4">
        <v>90</v>
      </c>
      <c r="G132" s="4">
        <v>9.2899999999999991</v>
      </c>
      <c r="H132" s="4">
        <v>836.09999999999991</v>
      </c>
      <c r="I132" s="23">
        <v>44127</v>
      </c>
      <c r="J132" s="4">
        <v>49.7</v>
      </c>
      <c r="K132" s="4">
        <v>4473</v>
      </c>
      <c r="L132" s="24">
        <f t="shared" si="30"/>
        <v>5.3498385360602807</v>
      </c>
      <c r="M132" s="12">
        <f t="shared" si="27"/>
        <v>4473</v>
      </c>
      <c r="N132" s="4">
        <f t="shared" si="28"/>
        <v>89</v>
      </c>
      <c r="O132" s="4">
        <f t="shared" si="29"/>
        <v>41</v>
      </c>
      <c r="P132" s="4">
        <v>130</v>
      </c>
      <c r="Q132" s="4">
        <f t="shared" ref="Q132:Q149" si="31">P132*0.85</f>
        <v>110.5</v>
      </c>
      <c r="R132" s="4">
        <v>50</v>
      </c>
      <c r="S132" s="17">
        <v>2039.9999999999998</v>
      </c>
      <c r="T132">
        <f t="shared" ref="T132:T149" si="32">S132/M132*100</f>
        <v>45.606975184439968</v>
      </c>
    </row>
    <row r="133" spans="1:20" x14ac:dyDescent="0.25">
      <c r="A133" s="4" t="s">
        <v>485</v>
      </c>
      <c r="B133" s="4" t="s">
        <v>317</v>
      </c>
      <c r="C133" s="4" t="s">
        <v>318</v>
      </c>
      <c r="D133" s="22" t="s">
        <v>56</v>
      </c>
      <c r="E133" s="4" t="s">
        <v>57</v>
      </c>
      <c r="F133" s="4">
        <v>90</v>
      </c>
      <c r="G133" s="4">
        <v>9.57</v>
      </c>
      <c r="H133" s="4">
        <v>861.30000000000007</v>
      </c>
      <c r="I133" s="23">
        <v>44127</v>
      </c>
      <c r="J133" s="4">
        <v>17.8</v>
      </c>
      <c r="K133" s="4">
        <v>1602</v>
      </c>
      <c r="L133" s="24">
        <f t="shared" si="30"/>
        <v>1.8599791013584115</v>
      </c>
      <c r="M133" s="12">
        <f t="shared" si="27"/>
        <v>1602</v>
      </c>
      <c r="N133" s="4">
        <f t="shared" si="28"/>
        <v>89</v>
      </c>
      <c r="O133" s="4">
        <f t="shared" si="29"/>
        <v>41</v>
      </c>
      <c r="P133" s="4">
        <v>139.80000000000001</v>
      </c>
      <c r="Q133" s="4">
        <f t="shared" si="31"/>
        <v>118.83000000000001</v>
      </c>
      <c r="R133" s="4">
        <v>50</v>
      </c>
      <c r="S133" s="17">
        <v>872.5</v>
      </c>
      <c r="T133">
        <f t="shared" si="32"/>
        <v>54.463171036204749</v>
      </c>
    </row>
    <row r="134" spans="1:20" x14ac:dyDescent="0.25">
      <c r="A134" s="27" t="s">
        <v>486</v>
      </c>
      <c r="B134" s="4" t="s">
        <v>319</v>
      </c>
      <c r="C134" s="4" t="s">
        <v>320</v>
      </c>
      <c r="D134" s="22" t="s">
        <v>56</v>
      </c>
      <c r="E134" s="4" t="s">
        <v>57</v>
      </c>
      <c r="F134" s="4">
        <v>90</v>
      </c>
      <c r="G134" s="4">
        <v>16.100000000000001</v>
      </c>
      <c r="H134" s="4">
        <v>1449.0000000000002</v>
      </c>
      <c r="I134" s="23">
        <v>44127</v>
      </c>
      <c r="J134" s="4">
        <v>9.01</v>
      </c>
      <c r="K134" s="4">
        <v>810.9</v>
      </c>
      <c r="L134" s="24">
        <f t="shared" si="30"/>
        <v>0.55962732919254643</v>
      </c>
      <c r="M134" s="12">
        <f t="shared" si="27"/>
        <v>810.9</v>
      </c>
      <c r="N134" s="4">
        <f t="shared" si="28"/>
        <v>89</v>
      </c>
      <c r="O134" s="4">
        <f t="shared" si="29"/>
        <v>41</v>
      </c>
      <c r="P134" s="27">
        <v>130</v>
      </c>
      <c r="Q134" s="4">
        <f t="shared" si="31"/>
        <v>110.5</v>
      </c>
      <c r="R134" s="27">
        <v>50</v>
      </c>
      <c r="S134" s="17">
        <v>525</v>
      </c>
      <c r="T134">
        <f t="shared" si="32"/>
        <v>64.742878283388833</v>
      </c>
    </row>
    <row r="135" spans="1:20" x14ac:dyDescent="0.25">
      <c r="A135" s="4" t="s">
        <v>487</v>
      </c>
      <c r="B135" s="4" t="s">
        <v>321</v>
      </c>
      <c r="C135" s="4" t="s">
        <v>322</v>
      </c>
      <c r="D135" s="22" t="s">
        <v>56</v>
      </c>
      <c r="E135" s="4" t="s">
        <v>62</v>
      </c>
      <c r="F135" s="4">
        <v>90</v>
      </c>
      <c r="G135" s="4">
        <v>6.97</v>
      </c>
      <c r="H135" s="4">
        <v>627.29999999999995</v>
      </c>
      <c r="I135" s="23">
        <v>44127</v>
      </c>
      <c r="J135" s="4">
        <v>4.42</v>
      </c>
      <c r="K135" s="4">
        <v>397.8</v>
      </c>
      <c r="L135" s="24">
        <f t="shared" si="30"/>
        <v>0.63414634146341475</v>
      </c>
      <c r="M135" s="12">
        <f t="shared" si="27"/>
        <v>397.8</v>
      </c>
      <c r="N135" s="4">
        <f t="shared" si="28"/>
        <v>89</v>
      </c>
      <c r="O135" s="4">
        <f t="shared" si="29"/>
        <v>41</v>
      </c>
      <c r="P135" s="4">
        <v>135</v>
      </c>
      <c r="Q135" s="4">
        <f t="shared" si="31"/>
        <v>114.75</v>
      </c>
      <c r="R135" s="4">
        <v>50</v>
      </c>
      <c r="S135" s="17">
        <v>259</v>
      </c>
      <c r="T135">
        <f t="shared" si="32"/>
        <v>65.108094519859222</v>
      </c>
    </row>
    <row r="136" spans="1:20" x14ac:dyDescent="0.25">
      <c r="A136" s="4" t="s">
        <v>488</v>
      </c>
      <c r="B136" s="4" t="s">
        <v>323</v>
      </c>
      <c r="C136" s="4" t="s">
        <v>324</v>
      </c>
      <c r="D136" s="22" t="s">
        <v>56</v>
      </c>
      <c r="E136" s="4" t="s">
        <v>57</v>
      </c>
      <c r="F136" s="4">
        <v>90</v>
      </c>
      <c r="G136" s="4">
        <v>6.12</v>
      </c>
      <c r="H136" s="4">
        <v>550.79999999999995</v>
      </c>
      <c r="I136" s="23">
        <v>44127</v>
      </c>
      <c r="J136" s="4">
        <v>11</v>
      </c>
      <c r="K136" s="4">
        <v>990</v>
      </c>
      <c r="L136" s="24">
        <f t="shared" si="30"/>
        <v>1.7973856209150327</v>
      </c>
      <c r="M136" s="12">
        <f t="shared" si="27"/>
        <v>990</v>
      </c>
      <c r="N136" s="4">
        <f t="shared" si="28"/>
        <v>89</v>
      </c>
      <c r="O136" s="4">
        <f t="shared" si="29"/>
        <v>41</v>
      </c>
      <c r="P136" s="4">
        <v>130</v>
      </c>
      <c r="Q136" s="4">
        <f t="shared" si="31"/>
        <v>110.5</v>
      </c>
      <c r="R136" s="4">
        <v>50</v>
      </c>
      <c r="S136" s="17">
        <v>519.99999999999989</v>
      </c>
      <c r="T136">
        <f t="shared" si="32"/>
        <v>52.525252525252519</v>
      </c>
    </row>
    <row r="137" spans="1:20" x14ac:dyDescent="0.25">
      <c r="A137" s="4" t="s">
        <v>489</v>
      </c>
      <c r="B137" s="4" t="s">
        <v>325</v>
      </c>
      <c r="C137" s="4" t="s">
        <v>326</v>
      </c>
      <c r="D137" s="22" t="s">
        <v>56</v>
      </c>
      <c r="E137" s="4" t="s">
        <v>57</v>
      </c>
      <c r="F137" s="4">
        <v>90</v>
      </c>
      <c r="G137" s="4">
        <v>5.93</v>
      </c>
      <c r="H137" s="4">
        <v>533.69999999999993</v>
      </c>
      <c r="I137" s="23">
        <v>44127</v>
      </c>
      <c r="J137" s="4">
        <v>9.81</v>
      </c>
      <c r="K137" s="4">
        <v>882.90000000000009</v>
      </c>
      <c r="L137" s="24">
        <f t="shared" si="30"/>
        <v>1.6543001686340644</v>
      </c>
      <c r="M137" s="12">
        <f t="shared" si="27"/>
        <v>882.90000000000009</v>
      </c>
      <c r="N137" s="4">
        <f t="shared" si="28"/>
        <v>89</v>
      </c>
      <c r="O137" s="4">
        <f t="shared" si="29"/>
        <v>41</v>
      </c>
      <c r="P137" s="4">
        <v>130</v>
      </c>
      <c r="Q137" s="4">
        <f t="shared" si="31"/>
        <v>110.5</v>
      </c>
      <c r="R137" s="4">
        <v>50</v>
      </c>
      <c r="S137" s="17">
        <v>517.5</v>
      </c>
      <c r="T137">
        <f t="shared" si="32"/>
        <v>58.613659531090725</v>
      </c>
    </row>
    <row r="138" spans="1:20" x14ac:dyDescent="0.25">
      <c r="A138" s="27" t="s">
        <v>490</v>
      </c>
      <c r="B138" s="4" t="s">
        <v>327</v>
      </c>
      <c r="C138" s="4" t="s">
        <v>328</v>
      </c>
      <c r="D138" s="22" t="s">
        <v>56</v>
      </c>
      <c r="E138" s="4" t="s">
        <v>57</v>
      </c>
      <c r="F138" s="4">
        <v>90</v>
      </c>
      <c r="G138" s="4">
        <v>6.16</v>
      </c>
      <c r="H138" s="4">
        <v>554.4</v>
      </c>
      <c r="I138" s="23">
        <v>44127</v>
      </c>
      <c r="J138" s="4">
        <v>0.88</v>
      </c>
      <c r="K138" s="4">
        <v>79.2</v>
      </c>
      <c r="L138" s="24">
        <f t="shared" si="30"/>
        <v>0.14285714285714288</v>
      </c>
      <c r="M138" s="12">
        <f t="shared" si="27"/>
        <v>79.2</v>
      </c>
      <c r="N138" s="4">
        <f t="shared" si="28"/>
        <v>89</v>
      </c>
      <c r="O138" s="4">
        <f t="shared" si="29"/>
        <v>41</v>
      </c>
      <c r="P138" s="27">
        <v>130</v>
      </c>
      <c r="Q138" s="4">
        <f t="shared" si="31"/>
        <v>110.5</v>
      </c>
      <c r="R138" s="27">
        <v>50</v>
      </c>
      <c r="S138" s="17">
        <v>34.949999999999996</v>
      </c>
      <c r="T138">
        <f t="shared" si="32"/>
        <v>44.128787878787875</v>
      </c>
    </row>
    <row r="139" spans="1:20" x14ac:dyDescent="0.25">
      <c r="A139" s="4" t="s">
        <v>491</v>
      </c>
      <c r="B139" s="4" t="s">
        <v>329</v>
      </c>
      <c r="C139" s="4" t="s">
        <v>330</v>
      </c>
      <c r="D139" s="22" t="s">
        <v>56</v>
      </c>
      <c r="E139" s="4" t="s">
        <v>62</v>
      </c>
      <c r="F139" s="4">
        <v>90</v>
      </c>
      <c r="G139" s="4">
        <v>5.73</v>
      </c>
      <c r="H139" s="4">
        <v>515.70000000000005</v>
      </c>
      <c r="I139" s="23">
        <v>44127</v>
      </c>
      <c r="J139" s="4">
        <v>9.08</v>
      </c>
      <c r="K139" s="4">
        <v>817.2</v>
      </c>
      <c r="L139" s="24">
        <f t="shared" si="30"/>
        <v>1.5846422338568935</v>
      </c>
      <c r="M139" s="12">
        <f t="shared" si="27"/>
        <v>817.2</v>
      </c>
      <c r="N139" s="4">
        <f t="shared" si="28"/>
        <v>89</v>
      </c>
      <c r="O139" s="4">
        <f t="shared" si="29"/>
        <v>41</v>
      </c>
      <c r="P139" s="4">
        <v>139</v>
      </c>
      <c r="Q139" s="4">
        <f t="shared" si="31"/>
        <v>118.14999999999999</v>
      </c>
      <c r="R139" s="4">
        <v>50</v>
      </c>
      <c r="S139" s="17">
        <v>379</v>
      </c>
      <c r="T139">
        <f t="shared" si="32"/>
        <v>46.377875673029855</v>
      </c>
    </row>
    <row r="140" spans="1:20" x14ac:dyDescent="0.25">
      <c r="A140" s="4" t="s">
        <v>492</v>
      </c>
      <c r="B140" s="4" t="s">
        <v>331</v>
      </c>
      <c r="C140" s="4" t="s">
        <v>332</v>
      </c>
      <c r="D140" s="22" t="s">
        <v>56</v>
      </c>
      <c r="E140" s="4" t="s">
        <v>57</v>
      </c>
      <c r="F140" s="4">
        <v>90</v>
      </c>
      <c r="G140" s="4">
        <v>6.1</v>
      </c>
      <c r="H140" s="4">
        <v>549</v>
      </c>
      <c r="I140" s="23">
        <v>44127</v>
      </c>
      <c r="J140" s="4">
        <v>10.95</v>
      </c>
      <c r="K140" s="4">
        <v>985.49999999999989</v>
      </c>
      <c r="L140" s="24">
        <f t="shared" si="30"/>
        <v>1.7950819672131146</v>
      </c>
      <c r="M140" s="12">
        <f t="shared" si="27"/>
        <v>985.49999999999989</v>
      </c>
      <c r="N140" s="4">
        <f t="shared" si="28"/>
        <v>89</v>
      </c>
      <c r="O140" s="4">
        <f t="shared" si="29"/>
        <v>41</v>
      </c>
      <c r="P140" s="4">
        <v>121</v>
      </c>
      <c r="Q140" s="4">
        <f t="shared" si="31"/>
        <v>102.85</v>
      </c>
      <c r="R140" s="4">
        <v>50</v>
      </c>
      <c r="S140" s="17">
        <v>372.5</v>
      </c>
      <c r="T140">
        <f t="shared" si="32"/>
        <v>37.798072044647391</v>
      </c>
    </row>
    <row r="141" spans="1:20" x14ac:dyDescent="0.25">
      <c r="A141" s="4" t="s">
        <v>493</v>
      </c>
      <c r="B141" s="4" t="s">
        <v>333</v>
      </c>
      <c r="C141" s="4" t="s">
        <v>334</v>
      </c>
      <c r="D141" s="22" t="s">
        <v>56</v>
      </c>
      <c r="E141" s="4" t="s">
        <v>62</v>
      </c>
      <c r="F141" s="4">
        <v>80</v>
      </c>
      <c r="G141" s="4">
        <v>7.24</v>
      </c>
      <c r="H141" s="4">
        <v>579.20000000000005</v>
      </c>
      <c r="I141" s="23">
        <v>44127</v>
      </c>
      <c r="J141" s="4">
        <v>16.5</v>
      </c>
      <c r="K141" s="4">
        <v>1320</v>
      </c>
      <c r="L141" s="24">
        <f t="shared" si="30"/>
        <v>2.2790055248618781</v>
      </c>
      <c r="M141" s="12">
        <f t="shared" si="27"/>
        <v>1320</v>
      </c>
      <c r="N141" s="4">
        <f t="shared" si="28"/>
        <v>79</v>
      </c>
      <c r="O141" s="4">
        <f t="shared" si="29"/>
        <v>51</v>
      </c>
      <c r="P141" s="4">
        <v>112.4</v>
      </c>
      <c r="Q141" s="4">
        <f t="shared" si="31"/>
        <v>95.54</v>
      </c>
      <c r="R141" s="4">
        <v>50</v>
      </c>
      <c r="S141" s="17">
        <v>817.50000000000011</v>
      </c>
      <c r="T141">
        <f t="shared" si="32"/>
        <v>61.931818181818187</v>
      </c>
    </row>
    <row r="142" spans="1:20" x14ac:dyDescent="0.25">
      <c r="A142" s="4" t="s">
        <v>494</v>
      </c>
      <c r="B142" s="4" t="s">
        <v>335</v>
      </c>
      <c r="C142" s="4" t="s">
        <v>336</v>
      </c>
      <c r="D142" s="22" t="s">
        <v>56</v>
      </c>
      <c r="E142" s="4" t="s">
        <v>57</v>
      </c>
      <c r="F142" s="4">
        <v>90</v>
      </c>
      <c r="G142" s="4">
        <v>6.1</v>
      </c>
      <c r="H142" s="4">
        <v>549</v>
      </c>
      <c r="I142" s="23">
        <v>44127</v>
      </c>
      <c r="J142" s="4">
        <v>11.7</v>
      </c>
      <c r="K142" s="4">
        <v>1053</v>
      </c>
      <c r="L142" s="24">
        <f t="shared" si="30"/>
        <v>1.9180327868852458</v>
      </c>
      <c r="M142" s="12">
        <f t="shared" si="27"/>
        <v>1053</v>
      </c>
      <c r="N142" s="4">
        <f t="shared" si="28"/>
        <v>89</v>
      </c>
      <c r="O142" s="4">
        <f t="shared" si="29"/>
        <v>41</v>
      </c>
      <c r="P142" s="4">
        <v>143.80000000000001</v>
      </c>
      <c r="Q142" s="4">
        <f t="shared" si="31"/>
        <v>122.23</v>
      </c>
      <c r="R142" s="4">
        <v>50</v>
      </c>
      <c r="S142" s="17">
        <v>557.5</v>
      </c>
      <c r="T142">
        <f t="shared" si="32"/>
        <v>52.943969610636273</v>
      </c>
    </row>
    <row r="143" spans="1:20" x14ac:dyDescent="0.25">
      <c r="A143" s="4" t="s">
        <v>495</v>
      </c>
      <c r="B143" s="4" t="s">
        <v>337</v>
      </c>
      <c r="C143" s="4" t="s">
        <v>338</v>
      </c>
      <c r="D143" s="22" t="s">
        <v>56</v>
      </c>
      <c r="E143" s="4" t="s">
        <v>62</v>
      </c>
      <c r="F143" s="4">
        <v>90</v>
      </c>
      <c r="G143" s="4">
        <v>30.7</v>
      </c>
      <c r="H143" s="4">
        <v>2763</v>
      </c>
      <c r="I143" s="23">
        <v>44127</v>
      </c>
      <c r="J143" s="4">
        <v>17.100000000000001</v>
      </c>
      <c r="K143" s="4">
        <v>1539.0000000000002</v>
      </c>
      <c r="L143" s="24">
        <f t="shared" si="30"/>
        <v>0.55700325732899036</v>
      </c>
      <c r="M143" s="12">
        <f t="shared" si="27"/>
        <v>1539.0000000000002</v>
      </c>
      <c r="N143" s="4">
        <f t="shared" si="28"/>
        <v>89</v>
      </c>
      <c r="O143" s="4">
        <f t="shared" si="29"/>
        <v>41</v>
      </c>
      <c r="P143" s="4">
        <v>142</v>
      </c>
      <c r="Q143" s="4">
        <f t="shared" si="31"/>
        <v>120.7</v>
      </c>
      <c r="R143" s="4">
        <v>50</v>
      </c>
      <c r="S143" s="17">
        <v>552.5</v>
      </c>
      <c r="T143">
        <f t="shared" si="32"/>
        <v>35.899935022742035</v>
      </c>
    </row>
    <row r="144" spans="1:20" x14ac:dyDescent="0.25">
      <c r="A144" s="4" t="s">
        <v>496</v>
      </c>
      <c r="B144" s="4" t="s">
        <v>339</v>
      </c>
      <c r="C144" s="4" t="s">
        <v>340</v>
      </c>
      <c r="D144" s="22" t="s">
        <v>56</v>
      </c>
      <c r="E144" s="4" t="s">
        <v>57</v>
      </c>
      <c r="F144" s="4">
        <v>90</v>
      </c>
      <c r="G144" s="4">
        <v>6.38</v>
      </c>
      <c r="H144" s="4">
        <v>574.20000000000005</v>
      </c>
      <c r="I144" s="23">
        <v>44127</v>
      </c>
      <c r="J144" s="4">
        <v>12.65</v>
      </c>
      <c r="K144" s="4">
        <v>1138.5</v>
      </c>
      <c r="L144" s="24">
        <f t="shared" si="30"/>
        <v>1.982758620689655</v>
      </c>
      <c r="M144" s="12">
        <f t="shared" si="27"/>
        <v>1138.5</v>
      </c>
      <c r="N144" s="4">
        <f t="shared" si="28"/>
        <v>89</v>
      </c>
      <c r="O144" s="4">
        <f t="shared" si="29"/>
        <v>41</v>
      </c>
      <c r="P144" s="4">
        <v>112.6</v>
      </c>
      <c r="Q144" s="4">
        <f t="shared" si="31"/>
        <v>95.71</v>
      </c>
      <c r="R144" s="4">
        <v>50</v>
      </c>
      <c r="S144" s="17">
        <v>535</v>
      </c>
      <c r="T144">
        <f t="shared" si="32"/>
        <v>46.991655687307862</v>
      </c>
    </row>
    <row r="145" spans="1:20" x14ac:dyDescent="0.25">
      <c r="A145" s="4" t="s">
        <v>497</v>
      </c>
      <c r="B145" s="4" t="s">
        <v>341</v>
      </c>
      <c r="C145" s="4" t="s">
        <v>342</v>
      </c>
      <c r="D145" s="22" t="s">
        <v>56</v>
      </c>
      <c r="E145" s="4" t="s">
        <v>57</v>
      </c>
      <c r="F145" s="4">
        <v>90</v>
      </c>
      <c r="G145" s="4">
        <v>7.67</v>
      </c>
      <c r="H145" s="4">
        <v>690.3</v>
      </c>
      <c r="I145" s="23">
        <v>44127</v>
      </c>
      <c r="J145" s="4">
        <v>20.05</v>
      </c>
      <c r="K145" s="4">
        <v>1804.5</v>
      </c>
      <c r="L145" s="24">
        <f t="shared" si="30"/>
        <v>2.6140808344198176</v>
      </c>
      <c r="M145" s="12">
        <f t="shared" si="27"/>
        <v>1804.5</v>
      </c>
      <c r="N145" s="4">
        <f t="shared" si="28"/>
        <v>89</v>
      </c>
      <c r="O145" s="4">
        <f t="shared" si="29"/>
        <v>41</v>
      </c>
      <c r="P145" s="4">
        <v>121.2</v>
      </c>
      <c r="Q145" s="4">
        <f t="shared" si="31"/>
        <v>103.02</v>
      </c>
      <c r="R145" s="4">
        <v>50</v>
      </c>
      <c r="S145" s="17">
        <v>657.5</v>
      </c>
      <c r="T145">
        <f t="shared" si="32"/>
        <v>36.436686062621227</v>
      </c>
    </row>
    <row r="146" spans="1:20" x14ac:dyDescent="0.25">
      <c r="A146" s="4" t="s">
        <v>498</v>
      </c>
      <c r="B146" s="4" t="s">
        <v>343</v>
      </c>
      <c r="C146" s="4" t="s">
        <v>344</v>
      </c>
      <c r="D146" s="22" t="s">
        <v>56</v>
      </c>
      <c r="E146" s="4" t="s">
        <v>62</v>
      </c>
      <c r="F146" s="4">
        <v>90</v>
      </c>
      <c r="G146" s="4">
        <v>6.49</v>
      </c>
      <c r="H146" s="4">
        <v>584.1</v>
      </c>
      <c r="I146" s="23">
        <v>44127</v>
      </c>
      <c r="J146" s="4">
        <v>8.5500000000000007</v>
      </c>
      <c r="K146" s="4">
        <v>769.50000000000011</v>
      </c>
      <c r="L146" s="24">
        <f t="shared" si="30"/>
        <v>1.317411402157165</v>
      </c>
      <c r="M146" s="12">
        <f t="shared" si="27"/>
        <v>769.50000000000011</v>
      </c>
      <c r="N146" s="4">
        <f t="shared" si="28"/>
        <v>89</v>
      </c>
      <c r="O146" s="4">
        <f t="shared" si="29"/>
        <v>41</v>
      </c>
      <c r="P146" s="4">
        <v>118.8</v>
      </c>
      <c r="Q146" s="4">
        <f t="shared" si="31"/>
        <v>100.97999999999999</v>
      </c>
      <c r="R146" s="4">
        <v>50</v>
      </c>
      <c r="S146" s="17">
        <v>392.5</v>
      </c>
      <c r="T146">
        <f t="shared" si="32"/>
        <v>51.007147498375559</v>
      </c>
    </row>
    <row r="147" spans="1:20" x14ac:dyDescent="0.25">
      <c r="A147" s="4" t="s">
        <v>499</v>
      </c>
      <c r="B147" s="4" t="s">
        <v>345</v>
      </c>
      <c r="C147" s="4" t="s">
        <v>346</v>
      </c>
      <c r="D147" s="22" t="s">
        <v>56</v>
      </c>
      <c r="E147" s="4" t="s">
        <v>57</v>
      </c>
      <c r="F147" s="4">
        <v>90</v>
      </c>
      <c r="G147" s="4">
        <v>9.0299999999999994</v>
      </c>
      <c r="H147" s="4">
        <v>812.69999999999993</v>
      </c>
      <c r="I147" s="23">
        <v>44127</v>
      </c>
      <c r="J147" s="4">
        <v>141.5</v>
      </c>
      <c r="K147" s="4">
        <v>12735</v>
      </c>
      <c r="L147" s="24">
        <f t="shared" si="30"/>
        <v>15.66998892580288</v>
      </c>
      <c r="M147" s="12">
        <f t="shared" si="27"/>
        <v>12735</v>
      </c>
      <c r="N147" s="4">
        <f t="shared" si="28"/>
        <v>89</v>
      </c>
      <c r="O147" s="4">
        <f t="shared" si="29"/>
        <v>41</v>
      </c>
      <c r="P147" s="4">
        <v>130</v>
      </c>
      <c r="Q147" s="4">
        <f t="shared" si="31"/>
        <v>110.5</v>
      </c>
      <c r="R147" s="4">
        <v>50</v>
      </c>
      <c r="S147" s="17">
        <v>3460</v>
      </c>
      <c r="T147">
        <f t="shared" si="32"/>
        <v>27.169218688653316</v>
      </c>
    </row>
    <row r="148" spans="1:20" x14ac:dyDescent="0.25">
      <c r="A148" s="4" t="s">
        <v>500</v>
      </c>
      <c r="B148" s="4" t="s">
        <v>347</v>
      </c>
      <c r="C148" s="4" t="s">
        <v>348</v>
      </c>
      <c r="D148" s="22" t="s">
        <v>56</v>
      </c>
      <c r="E148" s="4" t="s">
        <v>57</v>
      </c>
      <c r="F148" s="4">
        <v>90</v>
      </c>
      <c r="G148" s="4">
        <v>9.57</v>
      </c>
      <c r="H148" s="4">
        <v>861.30000000000007</v>
      </c>
      <c r="I148" s="23">
        <v>44127</v>
      </c>
      <c r="J148" s="4">
        <v>10.1</v>
      </c>
      <c r="K148" s="4">
        <v>909</v>
      </c>
      <c r="L148" s="24">
        <f t="shared" si="30"/>
        <v>1.0553814002089863</v>
      </c>
      <c r="M148" s="12">
        <f t="shared" si="27"/>
        <v>909</v>
      </c>
      <c r="N148" s="4">
        <f t="shared" si="28"/>
        <v>89</v>
      </c>
      <c r="O148" s="4">
        <f t="shared" si="29"/>
        <v>41</v>
      </c>
      <c r="P148" s="4">
        <v>175.2</v>
      </c>
      <c r="Q148" s="4">
        <f t="shared" si="31"/>
        <v>148.91999999999999</v>
      </c>
      <c r="R148" s="4">
        <v>50</v>
      </c>
      <c r="S148" s="17">
        <v>917.50000000000011</v>
      </c>
      <c r="T148">
        <f t="shared" si="32"/>
        <v>100.93509350935095</v>
      </c>
    </row>
    <row r="149" spans="1:20" x14ac:dyDescent="0.25">
      <c r="A149" s="4" t="s">
        <v>501</v>
      </c>
      <c r="B149" s="4" t="s">
        <v>349</v>
      </c>
      <c r="C149" s="4" t="s">
        <v>350</v>
      </c>
      <c r="D149" s="22" t="s">
        <v>56</v>
      </c>
      <c r="E149" s="4" t="s">
        <v>62</v>
      </c>
      <c r="F149" s="4">
        <v>90</v>
      </c>
      <c r="G149" s="4">
        <v>10.6</v>
      </c>
      <c r="H149" s="4">
        <v>954</v>
      </c>
      <c r="I149" s="23">
        <v>44127</v>
      </c>
      <c r="J149" s="4">
        <v>9.27</v>
      </c>
      <c r="K149" s="4">
        <v>834.3</v>
      </c>
      <c r="L149" s="24">
        <f t="shared" si="30"/>
        <v>0.87452830188679243</v>
      </c>
      <c r="M149" s="12">
        <f t="shared" si="27"/>
        <v>834.3</v>
      </c>
      <c r="N149" s="4">
        <f t="shared" si="28"/>
        <v>89</v>
      </c>
      <c r="O149" s="4">
        <f t="shared" si="29"/>
        <v>41</v>
      </c>
      <c r="P149" s="4">
        <v>124.2</v>
      </c>
      <c r="Q149" s="4">
        <f t="shared" si="31"/>
        <v>105.57</v>
      </c>
      <c r="R149" s="4">
        <v>50</v>
      </c>
      <c r="S149" s="17">
        <v>370.5</v>
      </c>
      <c r="T149">
        <f t="shared" si="32"/>
        <v>44.408486156058977</v>
      </c>
    </row>
    <row r="150" spans="1:20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S150" s="4"/>
    </row>
    <row r="151" spans="1:20" x14ac:dyDescent="0.25">
      <c r="A151" s="4" t="s">
        <v>502</v>
      </c>
      <c r="B151" s="4" t="s">
        <v>351</v>
      </c>
      <c r="C151" s="4" t="s">
        <v>352</v>
      </c>
      <c r="D151" s="26" t="s">
        <v>353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S151" s="4"/>
    </row>
    <row r="152" spans="1:20" x14ac:dyDescent="0.25">
      <c r="B152" s="4" t="s">
        <v>354</v>
      </c>
      <c r="C152" s="4" t="s">
        <v>352</v>
      </c>
      <c r="D152" s="26" t="s">
        <v>353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S152" s="4"/>
    </row>
  </sheetData>
  <mergeCells count="5">
    <mergeCell ref="B1:F1"/>
    <mergeCell ref="G1:H1"/>
    <mergeCell ref="I1:K1"/>
    <mergeCell ref="M1:O1"/>
    <mergeCell ref="P1:R1"/>
  </mergeCells>
  <conditionalFormatting sqref="L1:L150 L15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{4CFC8706-94B5-FE44-A060-FF3053C53394}</x14:id>
        </ext>
      </extLst>
    </cfRule>
  </conditionalFormatting>
  <conditionalFormatting sqref="L15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{CF19A471-9661-CF47-887F-DB87571047E7}</x14:id>
        </ext>
      </extLst>
    </cfRule>
  </conditionalFormatting>
  <conditionalFormatting sqref="S150 S152">
    <cfRule type="cellIs" dxfId="2" priority="2" operator="between">
      <formula>0.00001</formula>
      <formula>49</formula>
    </cfRule>
    <cfRule type="cellIs" dxfId="1" priority="3" operator="greaterThan">
      <formula>200</formula>
    </cfRule>
    <cfRule type="cellIs" dxfId="0" priority="4" operator="between">
      <formula>0.00001</formula>
      <formula>200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FC8706-94B5-FE44-A060-FF3053C533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L1:L150 L152</xm:sqref>
        </x14:conditionalFormatting>
        <x14:conditionalFormatting xmlns:xm="http://schemas.microsoft.com/office/excel/2006/main">
          <x14:cfRule type="dataBar" id="{CF19A471-9661-CF47-887F-DB87571047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Agilent Project Shearing</vt:lpstr>
      <vt:lpstr>Weese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Enrique</cp:lastModifiedBy>
  <dcterms:created xsi:type="dcterms:W3CDTF">2023-05-23T14:26:32Z</dcterms:created>
  <dcterms:modified xsi:type="dcterms:W3CDTF">2023-07-20T18:14:28Z</dcterms:modified>
</cp:coreProperties>
</file>